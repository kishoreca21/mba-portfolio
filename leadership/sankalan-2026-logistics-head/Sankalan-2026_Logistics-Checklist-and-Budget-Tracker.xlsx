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Checklist" sheetId="1" state="visible" r:id="rId3"/>
    <sheet name="Budget Tracker" sheetId="2" state="visible" r:id="rId4"/>
    <sheet name="Panelist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<sst xmlns="http://schemas.openxmlformats.org/spreadsheetml/2006/main" count="535" uniqueCount="245">
  <si>
    <t xml:space="preserve">SANKALAN 2026 — LOGISTICS MASTER CHECKLIST</t>
  </si>
  <si>
    <t xml:space="preserve">Corporate Communications Committee | PGDM-BM | MDI Gurgaon | Event Date: 20 June 2026</t>
  </si>
  <si>
    <t xml:space="preserve">STATUS LEGEND:   ✅ Done   |   🔄 In Progress   |   ❌ Not Started   |   ⚠️ Blocked / Query   |   PRIORITY:   🔴 Critical   🟠 High   🟡 Medium   🟢 Low</t>
  </si>
  <si>
    <t xml:space="preserve">#</t>
  </si>
  <si>
    <t xml:space="preserve">Category</t>
  </si>
  <si>
    <t xml:space="preserve">Task / Item</t>
  </si>
  <si>
    <t xml:space="preserve">Owner</t>
  </si>
  <si>
    <t xml:space="preserve">Deadline</t>
  </si>
  <si>
    <t xml:space="preserve">Priority</t>
  </si>
  <si>
    <t xml:space="preserve">Status</t>
  </si>
  <si>
    <t xml:space="preserve">Notes / Vendor Details</t>
  </si>
  <si>
    <t xml:space="preserve">  VENUE &amp; SETUP</t>
  </si>
  <si>
    <t xml:space="preserve">Venue &amp; Setup</t>
  </si>
  <si>
    <t xml:space="preserve">Book Auditorium for 20 June (10 AM – 6 PM)</t>
  </si>
  <si>
    <t xml:space="preserve">Logistics Head</t>
  </si>
  <si>
    <t xml:space="preserve">25-May</t>
  </si>
  <si>
    <t xml:space="preserve">🔴 Critical</t>
  </si>
  <si>
    <t xml:space="preserve">❌ Not Started</t>
  </si>
  <si>
    <t xml:space="preserve">Confirm with admin; Inauguration + CaseQuest + Panel all in Auditorium</t>
  </si>
  <si>
    <t xml:space="preserve">Book MDP Hall for Cultural Night (7 PM onwards) + Takshille for student get-together</t>
  </si>
  <si>
    <t xml:space="preserve">MDP Hall = formal cultural space; Takshille exterior = informal dinner setting with lights | Confirm both with admin by May 25</t>
  </si>
  <si>
    <t xml:space="preserve">Book Syndicate Room (backup / prep room for panelists)</t>
  </si>
  <si>
    <t xml:space="preserve">27-May</t>
  </si>
  <si>
    <t xml:space="preserve">🟠 High</t>
  </si>
  <si>
    <t xml:space="preserve">Panelist holding area 1:30–3 PM; needs sofa, table, water</t>
  </si>
  <si>
    <t xml:space="preserve">Venue walk-through with full logistics team</t>
  </si>
  <si>
    <t xml:space="preserve">05-Jun</t>
  </si>
  <si>
    <t xml:space="preserve">Map: registration desk, stage, seating, catering stations, photo wall, CaseQuest area</t>
  </si>
  <si>
    <t xml:space="preserve">Arrange sofa &amp; table for panelist green room</t>
  </si>
  <si>
    <t xml:space="preserve">10-Jun</t>
  </si>
  <si>
    <t xml:space="preserve">🟡 Medium</t>
  </si>
  <si>
    <t xml:space="preserve">Coordinate with estate/admin; confirm 4–5 seater sofa</t>
  </si>
  <si>
    <t xml:space="preserve">Stage layout &amp; seating plan (auditorium)</t>
  </si>
  <si>
    <t xml:space="preserve">7 panelists + 1 moderator on stage; reserve front rows for guests/faculty</t>
  </si>
  <si>
    <t xml:space="preserve">Keep front row(s) empty/reserved for dignitaries</t>
  </si>
  <si>
    <t xml:space="preserve">Volunteer Lead</t>
  </si>
  <si>
    <t xml:space="preserve">20-Jun</t>
  </si>
  <si>
    <t xml:space="preserve">Previous year note: keep 1st lane empty for chief guest &amp; dean</t>
  </si>
  <si>
    <t xml:space="preserve">Morning cleaning &amp; venue setup check (8 AM)</t>
  </si>
  <si>
    <t xml:space="preserve">Arrive 2 hrs before event; verify décor, AV, seating all in place</t>
  </si>
  <si>
    <t xml:space="preserve">  DÉCOR &amp; PROPS</t>
  </si>
  <si>
    <t xml:space="preserve">Décor &amp; Props</t>
  </si>
  <si>
    <t xml:space="preserve">Flower decoration — stage &amp; venue (bouquets + plants)</t>
  </si>
  <si>
    <t xml:space="preserve">Décor Owner</t>
  </si>
  <si>
    <t xml:space="preserve">Budget: ₹15,000 | Get 2-3 quotes; plants for gifting also included</t>
  </si>
  <si>
    <t xml:space="preserve">Standee design &amp; print</t>
  </si>
  <si>
    <t xml:space="preserve">Content Team</t>
  </si>
  <si>
    <t xml:space="preserve">Budget within ₹20,000 props total | Need design file from content team by May 30</t>
  </si>
  <si>
    <t xml:space="preserve">Banner(s) — Auditorium + MDP Hall</t>
  </si>
  <si>
    <t xml:space="preserve">Confirm sizes with venue; include event theme 'Zero-Based Strategy'</t>
  </si>
  <si>
    <t xml:space="preserve">Selfie board / Memory board</t>
  </si>
  <si>
    <t xml:space="preserve">08-Jun</t>
  </si>
  <si>
    <t xml:space="preserve">Budget within ₹20,000 props total | Place near auditorium entrance</t>
  </si>
  <si>
    <t xml:space="preserve">Evening lights — Takshille Dining Hall exterior (cultural night setup)</t>
  </si>
  <si>
    <t xml:space="preserve">15-Jun</t>
  </si>
  <si>
    <t xml:space="preserve">'Lagwaana' = fit/install lights outside Takshille for get-together atmosphere | Contact S.D. Charan (State Office) for electrical points</t>
  </si>
  <si>
    <t xml:space="preserve">Red carpet — lay outside Auditorium entrance for panelist arrival</t>
  </si>
  <si>
    <t xml:space="preserve">12-Jun</t>
  </si>
  <si>
    <t xml:space="preserve">Previous year reference: red carpet outside auditorium; coordinate with estate/admin for placement by 9 AM</t>
  </si>
  <si>
    <t xml:space="preserve">  PHOTOGRAPHY &amp; AV</t>
  </si>
  <si>
    <t xml:space="preserve">Photography &amp; AV</t>
  </si>
  <si>
    <t xml:space="preserve">Hire photographer + videographer (full day)</t>
  </si>
  <si>
    <t xml:space="preserve">30-May</t>
  </si>
  <si>
    <t xml:space="preserve">Budget: ₹18,000 | 10 AM–10 PM; deliverables: reels + edited stills within 48 hrs</t>
  </si>
  <si>
    <t xml:space="preserve">AV / mic setup — contact S.D. Charan (State Office) for power/light points</t>
  </si>
  <si>
    <t xml:space="preserve">S.D. Charan = MDI estate/state office staff for electrical connections | Lapel mics for 7 panelists + moderator; handheld for Q&amp;A</t>
  </si>
  <si>
    <t xml:space="preserve">IT arrangements — laptop, projector, clicker</t>
  </si>
  <si>
    <t xml:space="preserve">IT/Volunteer</t>
  </si>
  <si>
    <t xml:space="preserve">CaseQuest teams need projector; backup laptop on standby</t>
  </si>
  <si>
    <t xml:space="preserve">Computer operator / tech volunteer on event day</t>
  </si>
  <si>
    <t xml:space="preserve">Dedicated tech person for slides, live polls, AV; should be present from 8 AM</t>
  </si>
  <si>
    <t xml:space="preserve">Musical setup for cultural night (DJ / live music)</t>
  </si>
  <si>
    <t xml:space="preserve">Budget within ₹75,000 dinner total | Clarify: DJ or live act? Affects budget split</t>
  </si>
  <si>
    <t xml:space="preserve">Lighting — Auditorium + MDP Hall</t>
  </si>
  <si>
    <t xml:space="preserve">Stage lighting for panel; festive lighting for cultural night</t>
  </si>
  <si>
    <t xml:space="preserve">  F&amp;B</t>
  </si>
  <si>
    <t xml:space="preserve">F&amp;B</t>
  </si>
  <si>
    <t xml:space="preserve">Lock F&amp;B vendor (full day)</t>
  </si>
  <si>
    <t xml:space="preserve">F&amp;B Owner</t>
  </si>
  <si>
    <t xml:space="preserve">Budget: ₹30,000 lunch+hi-tea + ₹75,000 dinner | Get 2-3 quotes; confirm GST</t>
  </si>
  <si>
    <t xml:space="preserve">Lunch — 12:30 PM | Students → Takshille Dining Hall (57 students via Mess)</t>
  </si>
  <si>
    <t xml:space="preserve">Coordinate with Mess; separate from guest lunch. Confirm student headcount.</t>
  </si>
  <si>
    <t xml:space="preserve">Hi-Tea 2 — Panelist Hi-Tea (4:30 PM) | CaseQuest winners + panelists</t>
  </si>
  <si>
    <t xml:space="preserve">Winners earn 1-on-1 hi-tea with panelist; confirm exact count after CaseQuest judging</t>
  </si>
  <si>
    <t xml:space="preserve">Hi-Tea 1 — Post-Inauguration (10:30 AM) | Light refreshments, Auditorium foyer</t>
  </si>
  <si>
    <t xml:space="preserve">Separate from panelist hi-tea; light snacks/tea for students + guests after inauguration ceremony</t>
  </si>
  <si>
    <t xml:space="preserve">Get-together Dinner — 7 PM onwards (65-70 pax)</t>
  </si>
  <si>
    <t xml:space="preserve">Budget: ₹75,000 incl. décor + music; confirm 3-4 panelists staying back</t>
  </si>
  <si>
    <t xml:space="preserve">Water bottles + mints on panelist table (event day)</t>
  </si>
  <si>
    <t xml:space="preserve">6 water bottles on stage table; replenish during breaks</t>
  </si>
  <si>
    <t xml:space="preserve">Fix lunch rate with Jha ji — NMP Hall (MDP Dining) for guests &amp; faculty</t>
  </si>
  <si>
    <t xml:space="preserve">🟢 Low</t>
  </si>
  <si>
    <t xml:space="preserve">⚠️ Blocked</t>
  </si>
  <si>
    <t xml:space="preserve">NMP = MDP Dining Hall | Jha ji is MDI staff contact | Confirm per-head rate for ~17 guests+faculty; negotiate before June 1</t>
  </si>
  <si>
    <t xml:space="preserve">  PANELIST MGMT</t>
  </si>
  <si>
    <t xml:space="preserve">Panelist Mgmt</t>
  </si>
  <si>
    <t xml:space="preserve">Create Panelist Info Sheet (all 7 + moderator)</t>
  </si>
  <si>
    <t xml:space="preserve">Fields: name, designation, contact, pickup point, dietary pref, staying for dinner Y/N</t>
  </si>
  <si>
    <t xml:space="preserve">Domestic conveyance — confirm pickup/drop for each panelist</t>
  </si>
  <si>
    <t xml:space="preserve">Conveyance Owner</t>
  </si>
  <si>
    <t xml:space="preserve">Budget: ₹25,000 (~8 cabs); book reliable cab vendor; map airport/station vs local</t>
  </si>
  <si>
    <t xml:space="preserve">Flight ticket — confirm if any panelist needs Bombay–Delhi booking</t>
  </si>
  <si>
    <t xml:space="preserve">01-Jun</t>
  </si>
  <si>
    <t xml:space="preserve">Previous year had Mumbai-Delhi flight; check with each panelist; handle reimbursement</t>
  </si>
  <si>
    <t xml:space="preserve">Assign dedicated volunteer per panelist (on event day)</t>
  </si>
  <si>
    <t xml:space="preserve">Volunteer picks up panelist from gate, escorts to green room, stage, hi-tea, exit</t>
  </si>
  <si>
    <t xml:space="preserve">Confirm 3-4 panelists staying back for cultural night</t>
  </si>
  <si>
    <t xml:space="preserve">Needed for dinner headcount; brief panelists on informal interaction format</t>
  </si>
  <si>
    <t xml:space="preserve">Name plates for panelists on stage</t>
  </si>
  <si>
    <t xml:space="preserve">18-Jun</t>
  </si>
  <si>
    <t xml:space="preserve">Print tent cards with name + designation; font size visible from audience</t>
  </si>
  <si>
    <t xml:space="preserve">  GIFTS &amp; FELICITATION</t>
  </si>
  <si>
    <t xml:space="preserve">Gifts &amp; Felicitation</t>
  </si>
  <si>
    <t xml:space="preserve">Order corporate gifts — 10 sets (laptop bag + books + MDI logo items)</t>
  </si>
  <si>
    <t xml:space="preserve">Gifts Owner</t>
  </si>
  <si>
    <t xml:space="preserve">Budget: ₹38,000 | ⚠️ LONGEST LEAD TIME — 10-14 days for MDI embossing; order by June 1</t>
  </si>
  <si>
    <t xml:space="preserve">Bouquets for Chief Guest, Dean, Chairpersons</t>
  </si>
  <si>
    <t xml:space="preserve">19-Jun</t>
  </si>
  <si>
    <t xml:space="preserve">Within ₹15,000 décor budget; confirm count of dignitaries receiving bouquets</t>
  </si>
  <si>
    <t xml:space="preserve">Momento / memento for special guests</t>
  </si>
  <si>
    <t xml:space="preserve">Previous year note: confirm if separate memento or part of gift set</t>
  </si>
  <si>
    <t xml:space="preserve">Confirm gift list — who receives what (protocol)</t>
  </si>
  <si>
    <t xml:space="preserve">Chief Guest, 7 panelists, Dean, Chairpersons — total ~10; confirm with secretary</t>
  </si>
  <si>
    <t xml:space="preserve">  CASEQUEST SETUP</t>
  </si>
  <si>
    <t xml:space="preserve">CaseQuest Setup</t>
  </si>
  <si>
    <t xml:space="preserve">Coordinate with academic team — get case problem content</t>
  </si>
  <si>
    <t xml:space="preserve">Case to be released 48-72 hrs before event (June 17-18); need content by May 30 to print</t>
  </si>
  <si>
    <t xml:space="preserve">Print case packets for all participating teams</t>
  </si>
  <si>
    <t xml:space="preserve">CaseQuest Owner</t>
  </si>
  <si>
    <t xml:space="preserve">Budget: ₹7,500 total | Packet includes: case problem, evaluation sheet, instructions</t>
  </si>
  <si>
    <t xml:space="preserve">Evaluation sheets for faculty judges (internal round)</t>
  </si>
  <si>
    <t xml:space="preserve">Criteria: analytical rigour, creativity, feasibility, presentation quality</t>
  </si>
  <si>
    <t xml:space="preserve">Certificates of excellence — design + print</t>
  </si>
  <si>
    <t xml:space="preserve">For winning team(s) + top 3 finalists; get design from content team</t>
  </si>
  <si>
    <t xml:space="preserve">Prize envelopes — cash prizes ready</t>
  </si>
  <si>
    <t xml:space="preserve">Budget: ₹25,000 for prizes; confirm denomination breakdown; keep in sealed envelopes</t>
  </si>
  <si>
    <t xml:space="preserve">Setup presentation area in Auditorium for CaseQuest</t>
  </si>
  <si>
    <t xml:space="preserve">Projector + laptop + clicker for top-3 teams; timer visible to presenter</t>
  </si>
  <si>
    <t xml:space="preserve">Plastic folders (~20) + stationery for student teams</t>
  </si>
  <si>
    <t xml:space="preserve">Previous year: 69 IDs with 10 pencils; adapt for 57 students; include notepads</t>
  </si>
  <si>
    <t xml:space="preserve">  INVITATIONS &amp; COMMS</t>
  </si>
  <si>
    <t xml:space="preserve">Invitations &amp; Comms</t>
  </si>
  <si>
    <t xml:space="preserve">Send formal invitation cards to all panelists</t>
  </si>
  <si>
    <t xml:space="preserve">Comms Team</t>
  </si>
  <si>
    <t xml:space="preserve">Coordinate with Manasi (Secretary); confirm digital + physical invite format</t>
  </si>
  <si>
    <t xml:space="preserve">Invitation to Dean, Chairpersons, Faculty</t>
  </si>
  <si>
    <t xml:space="preserve">Coordinate with Director's office / diary management</t>
  </si>
  <si>
    <t xml:space="preserve">Alumni outreach — personal calls for cultural night</t>
  </si>
  <si>
    <t xml:space="preserve">Previous year: personal call to NRC alums; confirm attire guidance too</t>
  </si>
  <si>
    <t xml:space="preserve">Director's office — diary entry &amp; formal note</t>
  </si>
  <si>
    <t xml:space="preserve">Block Dean + Director calendar for June 20; send agenda</t>
  </si>
  <si>
    <t xml:space="preserve">LinkedIn event post + social media promotion</t>
  </si>
  <si>
    <t xml:space="preserve">Amplify via MDI LinkedIn page; student/panelist tags; pre-event content</t>
  </si>
  <si>
    <t xml:space="preserve">  VOLUNTEERS</t>
  </si>
  <si>
    <t xml:space="preserve">Volunteers</t>
  </si>
  <si>
    <t xml:space="preserve">Recruit 6-8 volunteers (logistics, ushering, registration)</t>
  </si>
  <si>
    <t xml:space="preserve">Roles: gate reception, panelist escort, F&amp;B, AV assist, registration desk, CaseQuest</t>
  </si>
  <si>
    <t xml:space="preserve">Volunteer briefing + role assignment</t>
  </si>
  <si>
    <t xml:space="preserve">Share day-of runsheet; each volunteer has ONE owner domain, not multiple</t>
  </si>
  <si>
    <t xml:space="preserve">Registration desk setup (student + guest check-in)</t>
  </si>
  <si>
    <t xml:space="preserve">Printed name tags + attendance sheet; separate queue for guests vs students</t>
  </si>
  <si>
    <t xml:space="preserve">Host/Emcee confirmed + briefed</t>
  </si>
  <si>
    <t xml:space="preserve">Prepare full event script with timings; include vote of thanks, panelist intros</t>
  </si>
  <si>
    <t xml:space="preserve">Vote of thanks — drafted and assigned</t>
  </si>
  <si>
    <t xml:space="preserve">Usually Secretary or student leader; include acknowledgement of each panelist</t>
  </si>
  <si>
    <t xml:space="preserve">  DAY-OF RUNSHEET</t>
  </si>
  <si>
    <t xml:space="preserve">Day-of Runsheet</t>
  </si>
  <si>
    <t xml:space="preserve">Prepare master day-of runsheet with all timings</t>
  </si>
  <si>
    <t xml:space="preserve">14-Jun</t>
  </si>
  <si>
    <t xml:space="preserve">Include: slot timings, responsible person, vendor contact, contingency for each item</t>
  </si>
  <si>
    <t xml:space="preserve">Brochure + pen + bottle + notepad on each student seat</t>
  </si>
  <si>
    <t xml:space="preserve">57 students; confirm brochure design with content team by June 10</t>
  </si>
  <si>
    <t xml:space="preserve">Group photo — schedule immediately after inauguration</t>
  </si>
  <si>
    <t xml:space="preserve">Previous year flow: High-tea 10:30 → Group photo → MOP lunch 12:00</t>
  </si>
  <si>
    <t xml:space="preserve">Dean speech + Chairperson speech — scripts confirmed</t>
  </si>
  <si>
    <t xml:space="preserve">Coordinate with respective offices; share event context + panelist bios</t>
  </si>
  <si>
    <t xml:space="preserve">Moderator briefed — questions + flow for panel discussion</t>
  </si>
  <si>
    <t xml:space="preserve">Share panelist bios + discussion theme; pre-event call with moderator</t>
  </si>
  <si>
    <t xml:space="preserve">Post-event: collect all bills, return unutilized funds</t>
  </si>
  <si>
    <t xml:space="preserve">22-Jun</t>
  </si>
  <si>
    <t xml:space="preserve">Per proposal: Manasi Sharma takes responsibility; submit self-attested bills</t>
  </si>
  <si>
    <t xml:space="preserve">  MDI STAFF &amp; INTERNAL COORDINATION</t>
  </si>
  <si>
    <t xml:space="preserve">MDI Staff Coord.</t>
  </si>
  <si>
    <t xml:space="preserve">Book Parthenon rooms — 2 rooms for June 19, 20, 21 (3 nights)</t>
  </si>
  <si>
    <t xml:space="preserve">23-May</t>
  </si>
  <si>
    <t xml:space="preserve">URGENT — book immediately; 2 rooms for outstation panelists / Chief Guest stay; confirm check-in June 19 evening</t>
  </si>
  <si>
    <t xml:space="preserve">Volunteer on duty — Friday June 19 (5 PM) for Parthenon guest check-in</t>
  </si>
  <si>
    <t xml:space="preserve">Volunteer must be present at Parthenon from ~5 PM June 19; assist guests with room check-in, directions, any needs</t>
  </si>
  <si>
    <t xml:space="preserve">Coordinate with S.D. Charan (State Office) — electrical/light points for AV &amp; décor</t>
  </si>
  <si>
    <t xml:space="preserve">S.D. Charan = MDI state office / estate staff | Needed for: stage lights, Takshille exterior lights, mic power points in Auditorium</t>
  </si>
  <si>
    <t xml:space="preserve">Fix lunch rate with Jha ji — NMP / MDP Dining Hall (guest &amp; faculty lunch)</t>
  </si>
  <si>
    <t xml:space="preserve">Jha ji = MDI dining staff | NMP Hall = MDP Dining Hall | Fix per-head rate for ~17 pax (10-12 guests + 5 faculty); get written confirmation</t>
  </si>
  <si>
    <t xml:space="preserve">Takshille Dining Hall — confirm student lunch arrangement (57 students via Mess)</t>
  </si>
  <si>
    <t xml:space="preserve">Students eat at Takshille (regular mess); coordinate with mess in-charge to ensure capacity &amp; timing aligns with 12:30 PM schedule</t>
  </si>
  <si>
    <t xml:space="preserve">Evening lights — Takshille exterior (cultural night) via S.D. Charan</t>
  </si>
  <si>
    <t xml:space="preserve">'Lights lagwaana' outside Takshille dining hall for get-together atmosphere; S.D. Charan to provide power connection points; décor vendor to supply lights</t>
  </si>
  <si>
    <t xml:space="preserve">SANKALAN 2026 — BUDGET TRACKER</t>
  </si>
  <si>
    <t xml:space="preserve">Logistics Head Budget Reference | All figures in INR</t>
  </si>
  <si>
    <t xml:space="preserve">S.No.</t>
  </si>
  <si>
    <t xml:space="preserve">Budget (INR)</t>
  </si>
  <si>
    <t xml:space="preserve">Quoted (INR)</t>
  </si>
  <si>
    <t xml:space="preserve">Advance Paid</t>
  </si>
  <si>
    <t xml:space="preserve">Balance / Notes</t>
  </si>
  <si>
    <t xml:space="preserve">Flower Decoration (venue, bouquets, gifting plants)</t>
  </si>
  <si>
    <t xml:space="preserve">Photography &amp; Videography (full day)</t>
  </si>
  <si>
    <t xml:space="preserve">Promotion Props (Standee, Banner, Selfie Board, Memory Board)</t>
  </si>
  <si>
    <t xml:space="preserve">CaseQuest Prize Money</t>
  </si>
  <si>
    <t xml:space="preserve">Lunch &amp; Hi-Tea (guests+faculty at NMP/MDP Hall via Jha ji + 2 hi-tea sessions)</t>
  </si>
  <si>
    <t xml:space="preserve">Split: guest lunch at NMP Hall (Jha ji rate) + students via Takshille Mess; 2 hi-teas: post-inauguration + panelist 4:30 PM</t>
  </si>
  <si>
    <t xml:space="preserve">Felicitation Gifts — 10 sets (laptop bag, books, MDI merch)</t>
  </si>
  <si>
    <t xml:space="preserve">Get-Together &amp; Dinner (décor, DJ/music, lighting — 65-70 pax)</t>
  </si>
  <si>
    <t xml:space="preserve">Domestic Conveyance (panelist cabs, airport transfers)</t>
  </si>
  <si>
    <t xml:space="preserve">CaseQuest Competition Setup (printing, certs, eval materials)</t>
  </si>
  <si>
    <t xml:space="preserve">TOTAL SANCTIONED BUDGET</t>
  </si>
  <si>
    <t xml:space="preserve">← 80% advance; 20% post-event on bills</t>
  </si>
  <si>
    <t xml:space="preserve">Budget vs Quoted Variance</t>
  </si>
  <si>
    <t xml:space="preserve">Positive = under budget</t>
  </si>
  <si>
    <t xml:space="preserve">ADVANCE TRANSFER: Manasi Sharma | ICICI Bank | A/C: 192901503858 | IFSC: ICICI0001929 | Request 80% advance before event</t>
  </si>
  <si>
    <t xml:space="preserve">SANKALAN 2026 — PANELIST LOGISTICS TRACKER</t>
  </si>
  <si>
    <t xml:space="preserve">Complete one row per panelist | Update status as confirmations come in</t>
  </si>
  <si>
    <t xml:space="preserve">Name</t>
  </si>
  <si>
    <t xml:space="preserve">Designation &amp; Company</t>
  </si>
  <si>
    <t xml:space="preserve">Contact No.</t>
  </si>
  <si>
    <t xml:space="preserve">Pickup Point</t>
  </si>
  <si>
    <t xml:space="preserve">Cab Booked?</t>
  </si>
  <si>
    <t xml:space="preserve">Dietary Pref.</t>
  </si>
  <si>
    <t xml:space="preserve">Staying for Dinner?</t>
  </si>
  <si>
    <t xml:space="preserve">Volunteer Assigned</t>
  </si>
  <si>
    <t xml:space="preserve">Parthenon Room?</t>
  </si>
  <si>
    <t xml:space="preserve">Gopal C Sikder</t>
  </si>
  <si>
    <t xml:space="preserve">Sr. EVP &amp; Project Director, Reliance Industries Ltd</t>
  </si>
  <si>
    <t xml:space="preserve">Rushati Ghosh</t>
  </si>
  <si>
    <t xml:space="preserve">GM Marketing Head, Business Octane Solutions Pvt Ltd</t>
  </si>
  <si>
    <t xml:space="preserve">Neha Gupta</t>
  </si>
  <si>
    <t xml:space="preserve">MD &amp; Partner, Boston Consulting Group (BCG)</t>
  </si>
  <si>
    <t xml:space="preserve">Naveen Gulati</t>
  </si>
  <si>
    <t xml:space="preserve">Group CTO, Modi Enterprises</t>
  </si>
  <si>
    <t xml:space="preserve">Somnath Das</t>
  </si>
  <si>
    <t xml:space="preserve">VP — Supply Chain, Flipkart</t>
  </si>
  <si>
    <t xml:space="preserve">Rakhi Aswal</t>
  </si>
  <si>
    <t xml:space="preserve">CFO — Saxo Group India</t>
  </si>
  <si>
    <t xml:space="preserve">Rajeev Singh</t>
  </si>
  <si>
    <t xml:space="preserve">VP, Genpact — Manufacturing Finance &amp; Transformation</t>
  </si>
  <si>
    <t xml:space="preserve">Moderator TBD</t>
  </si>
  <si>
    <t xml:space="preserve">To be confirmed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</si>
</sst>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D4B896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D4B8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sz val="10"/>
      <color rgb="FF222222"/>
      <name val="Arial"/>
      <family val="0"/>
      <charset val="1"/>
    </font>
    <font>
      <i val="true"/>
      <sz val="9"/>
      <color rgb="FF222222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11"/>
      <color rgb="FF0F3460"/>
      <name val="Arial"/>
      <family val="0"/>
      <charset val="1"/>
    </font>
    <font>
      <b val="true"/>
      <sz val="11"/>
      <color rgb="FF0066CC"/>
      <name val="Arial"/>
      <family val="0"/>
      <charset val="1"/>
    </font>
    <font>
      <b val="true"/>
      <sz val="11"/>
      <color rgb="FF006633"/>
      <name val="Arial"/>
      <family val="0"/>
      <charset val="1"/>
    </font>
    <font>
      <b val="true"/>
      <sz val="11"/>
      <color rgb="FFCC0000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F3460"/>
        <bgColor rgb="FF333333"/>
      </patternFill>
    </fill>
    <fill>
      <patternFill patternType="solid">
        <fgColor rgb="FF1A1A2E"/>
        <bgColor rgb="FF222222"/>
      </patternFill>
    </fill>
    <fill>
      <patternFill patternType="solid">
        <fgColor rgb="FFF9F9F9"/>
        <bgColor rgb="FFFAFAFA"/>
      </patternFill>
    </fill>
    <fill>
      <patternFill patternType="solid">
        <fgColor rgb="FFFFF5F5"/>
        <bgColor rgb="FFFFFAF0"/>
      </patternFill>
    </fill>
    <fill>
      <patternFill patternType="solid">
        <fgColor rgb="FFFFFAF0"/>
        <bgColor rgb="FFFFFDE7"/>
      </patternFill>
    </fill>
    <fill>
      <patternFill patternType="solid">
        <fgColor rgb="FFFFFFFF"/>
        <bgColor rgb="FFFAFAFA"/>
      </patternFill>
    </fill>
    <fill>
      <patternFill patternType="solid">
        <fgColor rgb="FFFFF8E1"/>
        <bgColor rgb="FFFFF3E0"/>
      </patternFill>
    </fill>
    <fill>
      <patternFill patternType="solid">
        <fgColor rgb="FFFFFDE7"/>
        <bgColor rgb="FFFFFAF0"/>
      </patternFill>
    </fill>
    <fill>
      <patternFill patternType="solid">
        <fgColor rgb="FFE8F5E9"/>
        <bgColor rgb="FFE3F2FD"/>
      </patternFill>
    </fill>
    <fill>
      <patternFill patternType="solid">
        <fgColor rgb="FFFAFAFA"/>
        <bgColor rgb="FFF9F9F9"/>
      </patternFill>
    </fill>
    <fill>
      <patternFill patternType="solid">
        <fgColor rgb="FFE8EAF6"/>
        <bgColor rgb="FFE3F2FD"/>
      </patternFill>
    </fill>
    <fill>
      <patternFill patternType="solid">
        <fgColor rgb="FFE3F2FD"/>
        <bgColor rgb="FFE8EAF6"/>
      </patternFill>
    </fill>
    <fill>
      <patternFill patternType="solid">
        <fgColor rgb="FFFFF3E0"/>
        <bgColor rgb="FFFFF8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10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1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1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6" fillId="1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1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3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DE7"/>
      <rgbColor rgb="FFFF00FF"/>
      <rgbColor rgb="FF00FFFF"/>
      <rgbColor rgb="FF800000"/>
      <rgbColor rgb="FF006633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3F2FD"/>
      <rgbColor rgb="FF660066"/>
      <rgbColor rgb="FFFF8080"/>
      <rgbColor rgb="FF0066CC"/>
      <rgbColor rgb="FFFF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8EAF6"/>
      <rgbColor rgb="FFFFF3E0"/>
      <rgbColor rgb="FFF9F9F9"/>
      <rgbColor rgb="FFFFFAF0"/>
      <rgbColor rgb="FFFAFAFA"/>
      <rgbColor rgb="FFD4B8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460"/>
      <rgbColor rgb="FF339966"/>
      <rgbColor rgb="FF1A1A2E"/>
      <rgbColor rgb="FF222222"/>
      <rgbColor rgb="FF993300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2"/>
    <col collapsed="false" customWidth="true" hidden="false" outlineLevel="0" max="3" min="3" style="1" width="42"/>
    <col collapsed="false" customWidth="true" hidden="false" outlineLevel="0" max="4" min="4" style="1" width="16"/>
    <col collapsed="false" customWidth="true" hidden="false" outlineLevel="0" max="5" min="5" style="1" width="14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45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7.5" hidden="false" customHeight="true" outlineLevel="0" collapsed="false"/>
    <row r="4" customFormat="false" ht="18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</row>
    <row r="5" customFormat="false" ht="7.5" hidden="false" customHeight="true" outlineLevel="0" collapsed="false"/>
    <row r="6" customFormat="false" ht="21.75" hidden="false" customHeight="tru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</row>
    <row r="7" customFormat="false" ht="19.5" hidden="false" customHeight="true" outlineLevel="0" collapsed="false">
      <c r="A7" s="6" t="s">
        <v>11</v>
      </c>
      <c r="B7" s="6"/>
      <c r="C7" s="6"/>
      <c r="D7" s="6"/>
      <c r="E7" s="6"/>
      <c r="F7" s="6"/>
      <c r="G7" s="6"/>
      <c r="H7" s="6"/>
    </row>
    <row r="8" customFormat="false" ht="21.75" hidden="false" customHeight="true" outlineLevel="0" collapsed="false">
      <c r="A8" s="7" t="n">
        <v>1</v>
      </c>
      <c r="B8" s="8" t="s">
        <v>12</v>
      </c>
      <c r="C8" s="9" t="s">
        <v>13</v>
      </c>
      <c r="D8" s="10" t="s">
        <v>14</v>
      </c>
      <c r="E8" s="10" t="s">
        <v>15</v>
      </c>
      <c r="F8" s="10" t="s">
        <v>16</v>
      </c>
      <c r="G8" s="10" t="s">
        <v>17</v>
      </c>
      <c r="H8" s="11" t="s">
        <v>18</v>
      </c>
    </row>
    <row r="9" customFormat="false" ht="21.75" hidden="false" customHeight="true" outlineLevel="0" collapsed="false">
      <c r="A9" s="7" t="n">
        <v>2</v>
      </c>
      <c r="B9" s="8" t="s">
        <v>12</v>
      </c>
      <c r="C9" s="9" t="s">
        <v>19</v>
      </c>
      <c r="D9" s="10" t="s">
        <v>14</v>
      </c>
      <c r="E9" s="10" t="s">
        <v>15</v>
      </c>
      <c r="F9" s="10" t="s">
        <v>16</v>
      </c>
      <c r="G9" s="10" t="s">
        <v>17</v>
      </c>
      <c r="H9" s="11" t="s">
        <v>20</v>
      </c>
    </row>
    <row r="10" customFormat="false" ht="21.75" hidden="false" customHeight="true" outlineLevel="0" collapsed="false">
      <c r="A10" s="12" t="n">
        <v>3</v>
      </c>
      <c r="B10" s="13" t="s">
        <v>12</v>
      </c>
      <c r="C10" s="13" t="s">
        <v>21</v>
      </c>
      <c r="D10" s="14" t="s">
        <v>14</v>
      </c>
      <c r="E10" s="14" t="s">
        <v>22</v>
      </c>
      <c r="F10" s="14" t="s">
        <v>23</v>
      </c>
      <c r="G10" s="14" t="s">
        <v>17</v>
      </c>
      <c r="H10" s="15" t="s">
        <v>24</v>
      </c>
    </row>
    <row r="11" customFormat="false" ht="21.75" hidden="false" customHeight="true" outlineLevel="0" collapsed="false">
      <c r="A11" s="12" t="n">
        <v>4</v>
      </c>
      <c r="B11" s="13" t="s">
        <v>12</v>
      </c>
      <c r="C11" s="13" t="s">
        <v>25</v>
      </c>
      <c r="D11" s="14" t="s">
        <v>14</v>
      </c>
      <c r="E11" s="14" t="s">
        <v>26</v>
      </c>
      <c r="F11" s="14" t="s">
        <v>23</v>
      </c>
      <c r="G11" s="14" t="s">
        <v>17</v>
      </c>
      <c r="H11" s="15" t="s">
        <v>27</v>
      </c>
    </row>
    <row r="12" customFormat="false" ht="21.75" hidden="false" customHeight="true" outlineLevel="0" collapsed="false">
      <c r="A12" s="16" t="n">
        <v>5</v>
      </c>
      <c r="B12" s="17" t="s">
        <v>12</v>
      </c>
      <c r="C12" s="17" t="s">
        <v>28</v>
      </c>
      <c r="D12" s="18" t="s">
        <v>14</v>
      </c>
      <c r="E12" s="18" t="s">
        <v>29</v>
      </c>
      <c r="F12" s="18" t="s">
        <v>30</v>
      </c>
      <c r="G12" s="18" t="s">
        <v>17</v>
      </c>
      <c r="H12" s="19" t="s">
        <v>31</v>
      </c>
    </row>
    <row r="13" customFormat="false" ht="21.75" hidden="false" customHeight="true" outlineLevel="0" collapsed="false">
      <c r="A13" s="12" t="n">
        <v>6</v>
      </c>
      <c r="B13" s="13" t="s">
        <v>12</v>
      </c>
      <c r="C13" s="13" t="s">
        <v>32</v>
      </c>
      <c r="D13" s="14" t="s">
        <v>14</v>
      </c>
      <c r="E13" s="14" t="s">
        <v>29</v>
      </c>
      <c r="F13" s="14" t="s">
        <v>23</v>
      </c>
      <c r="G13" s="14" t="s">
        <v>17</v>
      </c>
      <c r="H13" s="15" t="s">
        <v>33</v>
      </c>
    </row>
    <row r="14" customFormat="false" ht="21.75" hidden="false" customHeight="true" outlineLevel="0" collapsed="false">
      <c r="A14" s="16" t="n">
        <v>7</v>
      </c>
      <c r="B14" s="17" t="s">
        <v>12</v>
      </c>
      <c r="C14" s="17" t="s">
        <v>34</v>
      </c>
      <c r="D14" s="18" t="s">
        <v>35</v>
      </c>
      <c r="E14" s="18" t="s">
        <v>36</v>
      </c>
      <c r="F14" s="18" t="s">
        <v>30</v>
      </c>
      <c r="G14" s="18" t="s">
        <v>17</v>
      </c>
      <c r="H14" s="19" t="s">
        <v>37</v>
      </c>
    </row>
    <row r="15" customFormat="false" ht="21.75" hidden="false" customHeight="true" outlineLevel="0" collapsed="false">
      <c r="A15" s="7" t="n">
        <v>8</v>
      </c>
      <c r="B15" s="8" t="s">
        <v>12</v>
      </c>
      <c r="C15" s="9" t="s">
        <v>38</v>
      </c>
      <c r="D15" s="10" t="s">
        <v>14</v>
      </c>
      <c r="E15" s="10" t="s">
        <v>36</v>
      </c>
      <c r="F15" s="10" t="s">
        <v>16</v>
      </c>
      <c r="G15" s="10" t="s">
        <v>17</v>
      </c>
      <c r="H15" s="11" t="s">
        <v>39</v>
      </c>
    </row>
    <row r="16" customFormat="false" ht="19.5" hidden="false" customHeight="true" outlineLevel="0" collapsed="false">
      <c r="A16" s="6" t="s">
        <v>40</v>
      </c>
      <c r="B16" s="6"/>
      <c r="C16" s="6"/>
      <c r="D16" s="6"/>
      <c r="E16" s="6"/>
      <c r="F16" s="6"/>
      <c r="G16" s="6"/>
      <c r="H16" s="6"/>
    </row>
    <row r="17" customFormat="false" ht="21.75" hidden="false" customHeight="true" outlineLevel="0" collapsed="false">
      <c r="A17" s="12" t="n">
        <v>9</v>
      </c>
      <c r="B17" s="13" t="s">
        <v>41</v>
      </c>
      <c r="C17" s="13" t="s">
        <v>42</v>
      </c>
      <c r="D17" s="14" t="s">
        <v>43</v>
      </c>
      <c r="E17" s="14" t="s">
        <v>29</v>
      </c>
      <c r="F17" s="14" t="s">
        <v>23</v>
      </c>
      <c r="G17" s="14" t="s">
        <v>17</v>
      </c>
      <c r="H17" s="15" t="s">
        <v>44</v>
      </c>
    </row>
    <row r="18" customFormat="false" ht="21.75" hidden="false" customHeight="true" outlineLevel="0" collapsed="false">
      <c r="A18" s="12" t="n">
        <v>10</v>
      </c>
      <c r="B18" s="13" t="s">
        <v>41</v>
      </c>
      <c r="C18" s="13" t="s">
        <v>45</v>
      </c>
      <c r="D18" s="14" t="s">
        <v>46</v>
      </c>
      <c r="E18" s="14" t="s">
        <v>26</v>
      </c>
      <c r="F18" s="14" t="s">
        <v>23</v>
      </c>
      <c r="G18" s="14" t="s">
        <v>17</v>
      </c>
      <c r="H18" s="15" t="s">
        <v>47</v>
      </c>
    </row>
    <row r="19" customFormat="false" ht="21.75" hidden="false" customHeight="true" outlineLevel="0" collapsed="false">
      <c r="A19" s="12" t="n">
        <v>11</v>
      </c>
      <c r="B19" s="13" t="s">
        <v>41</v>
      </c>
      <c r="C19" s="13" t="s">
        <v>48</v>
      </c>
      <c r="D19" s="14" t="s">
        <v>46</v>
      </c>
      <c r="E19" s="14" t="s">
        <v>26</v>
      </c>
      <c r="F19" s="14" t="s">
        <v>23</v>
      </c>
      <c r="G19" s="14" t="s">
        <v>17</v>
      </c>
      <c r="H19" s="15" t="s">
        <v>49</v>
      </c>
    </row>
    <row r="20" customFormat="false" ht="21.75" hidden="false" customHeight="true" outlineLevel="0" collapsed="false">
      <c r="A20" s="16" t="n">
        <v>12</v>
      </c>
      <c r="B20" s="17" t="s">
        <v>41</v>
      </c>
      <c r="C20" s="17" t="s">
        <v>50</v>
      </c>
      <c r="D20" s="18" t="s">
        <v>46</v>
      </c>
      <c r="E20" s="18" t="s">
        <v>51</v>
      </c>
      <c r="F20" s="18" t="s">
        <v>30</v>
      </c>
      <c r="G20" s="18" t="s">
        <v>17</v>
      </c>
      <c r="H20" s="19" t="s">
        <v>52</v>
      </c>
    </row>
    <row r="21" customFormat="false" ht="21.75" hidden="false" customHeight="true" outlineLevel="0" collapsed="false">
      <c r="A21" s="12" t="n">
        <v>13</v>
      </c>
      <c r="B21" s="13" t="s">
        <v>41</v>
      </c>
      <c r="C21" s="13" t="s">
        <v>53</v>
      </c>
      <c r="D21" s="14" t="s">
        <v>43</v>
      </c>
      <c r="E21" s="14" t="s">
        <v>54</v>
      </c>
      <c r="F21" s="14" t="s">
        <v>23</v>
      </c>
      <c r="G21" s="14" t="s">
        <v>17</v>
      </c>
      <c r="H21" s="15" t="s">
        <v>55</v>
      </c>
    </row>
    <row r="22" customFormat="false" ht="21.75" hidden="false" customHeight="true" outlineLevel="0" collapsed="false">
      <c r="A22" s="16" t="n">
        <v>14</v>
      </c>
      <c r="B22" s="17" t="s">
        <v>41</v>
      </c>
      <c r="C22" s="17" t="s">
        <v>56</v>
      </c>
      <c r="D22" s="18" t="s">
        <v>14</v>
      </c>
      <c r="E22" s="18" t="s">
        <v>57</v>
      </c>
      <c r="F22" s="18" t="s">
        <v>30</v>
      </c>
      <c r="G22" s="18" t="s">
        <v>17</v>
      </c>
      <c r="H22" s="19" t="s">
        <v>58</v>
      </c>
    </row>
    <row r="23" customFormat="false" ht="19.5" hidden="false" customHeight="true" outlineLevel="0" collapsed="false">
      <c r="A23" s="6" t="s">
        <v>59</v>
      </c>
      <c r="B23" s="6"/>
      <c r="C23" s="6"/>
      <c r="D23" s="6"/>
      <c r="E23" s="6"/>
      <c r="F23" s="6"/>
      <c r="G23" s="6"/>
      <c r="H23" s="6"/>
    </row>
    <row r="24" customFormat="false" ht="21.75" hidden="false" customHeight="true" outlineLevel="0" collapsed="false">
      <c r="A24" s="7" t="n">
        <v>15</v>
      </c>
      <c r="B24" s="8" t="s">
        <v>60</v>
      </c>
      <c r="C24" s="9" t="s">
        <v>61</v>
      </c>
      <c r="D24" s="10" t="s">
        <v>14</v>
      </c>
      <c r="E24" s="10" t="s">
        <v>62</v>
      </c>
      <c r="F24" s="10" t="s">
        <v>16</v>
      </c>
      <c r="G24" s="10" t="s">
        <v>17</v>
      </c>
      <c r="H24" s="11" t="s">
        <v>63</v>
      </c>
    </row>
    <row r="25" customFormat="false" ht="21.75" hidden="false" customHeight="true" outlineLevel="0" collapsed="false">
      <c r="A25" s="7" t="n">
        <v>16</v>
      </c>
      <c r="B25" s="8" t="s">
        <v>60</v>
      </c>
      <c r="C25" s="9" t="s">
        <v>64</v>
      </c>
      <c r="D25" s="10" t="s">
        <v>14</v>
      </c>
      <c r="E25" s="10" t="s">
        <v>26</v>
      </c>
      <c r="F25" s="10" t="s">
        <v>16</v>
      </c>
      <c r="G25" s="10" t="s">
        <v>17</v>
      </c>
      <c r="H25" s="11" t="s">
        <v>65</v>
      </c>
    </row>
    <row r="26" customFormat="false" ht="21.75" hidden="false" customHeight="true" outlineLevel="0" collapsed="false">
      <c r="A26" s="12" t="n">
        <v>17</v>
      </c>
      <c r="B26" s="13" t="s">
        <v>60</v>
      </c>
      <c r="C26" s="13" t="s">
        <v>66</v>
      </c>
      <c r="D26" s="14" t="s">
        <v>67</v>
      </c>
      <c r="E26" s="14" t="s">
        <v>29</v>
      </c>
      <c r="F26" s="14" t="s">
        <v>23</v>
      </c>
      <c r="G26" s="14" t="s">
        <v>17</v>
      </c>
      <c r="H26" s="15" t="s">
        <v>68</v>
      </c>
    </row>
    <row r="27" customFormat="false" ht="21.75" hidden="false" customHeight="true" outlineLevel="0" collapsed="false">
      <c r="A27" s="12" t="n">
        <v>18</v>
      </c>
      <c r="B27" s="13" t="s">
        <v>60</v>
      </c>
      <c r="C27" s="13" t="s">
        <v>69</v>
      </c>
      <c r="D27" s="14" t="s">
        <v>67</v>
      </c>
      <c r="E27" s="14" t="s">
        <v>36</v>
      </c>
      <c r="F27" s="14" t="s">
        <v>23</v>
      </c>
      <c r="G27" s="14" t="s">
        <v>17</v>
      </c>
      <c r="H27" s="15" t="s">
        <v>70</v>
      </c>
    </row>
    <row r="28" customFormat="false" ht="21.75" hidden="false" customHeight="true" outlineLevel="0" collapsed="false">
      <c r="A28" s="12" t="n">
        <v>19</v>
      </c>
      <c r="B28" s="13" t="s">
        <v>60</v>
      </c>
      <c r="C28" s="13" t="s">
        <v>71</v>
      </c>
      <c r="D28" s="14" t="s">
        <v>14</v>
      </c>
      <c r="E28" s="14" t="s">
        <v>26</v>
      </c>
      <c r="F28" s="14" t="s">
        <v>23</v>
      </c>
      <c r="G28" s="14" t="s">
        <v>17</v>
      </c>
      <c r="H28" s="15" t="s">
        <v>72</v>
      </c>
    </row>
    <row r="29" customFormat="false" ht="21.75" hidden="false" customHeight="true" outlineLevel="0" collapsed="false">
      <c r="A29" s="16" t="n">
        <v>20</v>
      </c>
      <c r="B29" s="17" t="s">
        <v>60</v>
      </c>
      <c r="C29" s="17" t="s">
        <v>73</v>
      </c>
      <c r="D29" s="18" t="s">
        <v>43</v>
      </c>
      <c r="E29" s="18" t="s">
        <v>29</v>
      </c>
      <c r="F29" s="18" t="s">
        <v>30</v>
      </c>
      <c r="G29" s="18" t="s">
        <v>17</v>
      </c>
      <c r="H29" s="19" t="s">
        <v>74</v>
      </c>
    </row>
    <row r="30" customFormat="false" ht="19.5" hidden="false" customHeight="true" outlineLevel="0" collapsed="false">
      <c r="A30" s="6" t="s">
        <v>75</v>
      </c>
      <c r="B30" s="6"/>
      <c r="C30" s="6"/>
      <c r="D30" s="6"/>
      <c r="E30" s="6"/>
      <c r="F30" s="6"/>
      <c r="G30" s="6"/>
      <c r="H30" s="6"/>
    </row>
    <row r="31" customFormat="false" ht="21.75" hidden="false" customHeight="true" outlineLevel="0" collapsed="false">
      <c r="A31" s="7" t="n">
        <v>21</v>
      </c>
      <c r="B31" s="8" t="s">
        <v>76</v>
      </c>
      <c r="C31" s="9" t="s">
        <v>77</v>
      </c>
      <c r="D31" s="10" t="s">
        <v>78</v>
      </c>
      <c r="E31" s="10" t="s">
        <v>62</v>
      </c>
      <c r="F31" s="10" t="s">
        <v>16</v>
      </c>
      <c r="G31" s="10" t="s">
        <v>17</v>
      </c>
      <c r="H31" s="11" t="s">
        <v>79</v>
      </c>
    </row>
    <row r="32" customFormat="false" ht="21.75" hidden="false" customHeight="true" outlineLevel="0" collapsed="false">
      <c r="A32" s="7" t="n">
        <v>22</v>
      </c>
      <c r="B32" s="8" t="s">
        <v>76</v>
      </c>
      <c r="C32" s="9" t="s">
        <v>80</v>
      </c>
      <c r="D32" s="10" t="s">
        <v>78</v>
      </c>
      <c r="E32" s="10" t="s">
        <v>54</v>
      </c>
      <c r="F32" s="10" t="s">
        <v>16</v>
      </c>
      <c r="G32" s="10" t="s">
        <v>17</v>
      </c>
      <c r="H32" s="11" t="s">
        <v>81</v>
      </c>
    </row>
    <row r="33" customFormat="false" ht="21.75" hidden="false" customHeight="true" outlineLevel="0" collapsed="false">
      <c r="A33" s="12" t="n">
        <v>23</v>
      </c>
      <c r="B33" s="13" t="s">
        <v>76</v>
      </c>
      <c r="C33" s="13" t="s">
        <v>82</v>
      </c>
      <c r="D33" s="14" t="s">
        <v>78</v>
      </c>
      <c r="E33" s="14" t="s">
        <v>54</v>
      </c>
      <c r="F33" s="14" t="s">
        <v>23</v>
      </c>
      <c r="G33" s="14" t="s">
        <v>17</v>
      </c>
      <c r="H33" s="15" t="s">
        <v>83</v>
      </c>
    </row>
    <row r="34" customFormat="false" ht="21.75" hidden="false" customHeight="true" outlineLevel="0" collapsed="false">
      <c r="A34" s="16" t="n">
        <v>24</v>
      </c>
      <c r="B34" s="17" t="s">
        <v>76</v>
      </c>
      <c r="C34" s="17" t="s">
        <v>84</v>
      </c>
      <c r="D34" s="18" t="s">
        <v>78</v>
      </c>
      <c r="E34" s="18" t="s">
        <v>54</v>
      </c>
      <c r="F34" s="18" t="s">
        <v>30</v>
      </c>
      <c r="G34" s="18" t="s">
        <v>17</v>
      </c>
      <c r="H34" s="19" t="s">
        <v>85</v>
      </c>
    </row>
    <row r="35" customFormat="false" ht="21.75" hidden="false" customHeight="true" outlineLevel="0" collapsed="false">
      <c r="A35" s="7" t="n">
        <v>25</v>
      </c>
      <c r="B35" s="8" t="s">
        <v>76</v>
      </c>
      <c r="C35" s="9" t="s">
        <v>86</v>
      </c>
      <c r="D35" s="10" t="s">
        <v>78</v>
      </c>
      <c r="E35" s="10" t="s">
        <v>54</v>
      </c>
      <c r="F35" s="10" t="s">
        <v>16</v>
      </c>
      <c r="G35" s="10" t="s">
        <v>17</v>
      </c>
      <c r="H35" s="11" t="s">
        <v>87</v>
      </c>
    </row>
    <row r="36" customFormat="false" ht="21.75" hidden="false" customHeight="true" outlineLevel="0" collapsed="false">
      <c r="A36" s="16" t="n">
        <v>26</v>
      </c>
      <c r="B36" s="17" t="s">
        <v>76</v>
      </c>
      <c r="C36" s="17" t="s">
        <v>88</v>
      </c>
      <c r="D36" s="18" t="s">
        <v>35</v>
      </c>
      <c r="E36" s="18" t="s">
        <v>36</v>
      </c>
      <c r="F36" s="18" t="s">
        <v>30</v>
      </c>
      <c r="G36" s="18" t="s">
        <v>17</v>
      </c>
      <c r="H36" s="19" t="s">
        <v>89</v>
      </c>
    </row>
    <row r="37" customFormat="false" ht="21.75" hidden="false" customHeight="true" outlineLevel="0" collapsed="false">
      <c r="A37" s="16" t="n">
        <v>27</v>
      </c>
      <c r="B37" s="17" t="s">
        <v>76</v>
      </c>
      <c r="C37" s="17" t="s">
        <v>90</v>
      </c>
      <c r="D37" s="18" t="s">
        <v>14</v>
      </c>
      <c r="E37" s="18" t="s">
        <v>57</v>
      </c>
      <c r="F37" s="18" t="s">
        <v>91</v>
      </c>
      <c r="G37" s="20" t="s">
        <v>92</v>
      </c>
      <c r="H37" s="19" t="s">
        <v>93</v>
      </c>
    </row>
    <row r="38" customFormat="false" ht="19.5" hidden="false" customHeight="true" outlineLevel="0" collapsed="false">
      <c r="A38" s="6" t="s">
        <v>94</v>
      </c>
      <c r="B38" s="6"/>
      <c r="C38" s="6"/>
      <c r="D38" s="6"/>
      <c r="E38" s="6"/>
      <c r="F38" s="6"/>
      <c r="G38" s="6"/>
      <c r="H38" s="6"/>
    </row>
    <row r="39" customFormat="false" ht="21.75" hidden="false" customHeight="true" outlineLevel="0" collapsed="false">
      <c r="A39" s="7" t="n">
        <v>28</v>
      </c>
      <c r="B39" s="8" t="s">
        <v>95</v>
      </c>
      <c r="C39" s="9" t="s">
        <v>96</v>
      </c>
      <c r="D39" s="10" t="s">
        <v>14</v>
      </c>
      <c r="E39" s="10" t="s">
        <v>22</v>
      </c>
      <c r="F39" s="10" t="s">
        <v>16</v>
      </c>
      <c r="G39" s="10" t="s">
        <v>17</v>
      </c>
      <c r="H39" s="11" t="s">
        <v>97</v>
      </c>
    </row>
    <row r="40" customFormat="false" ht="21.75" hidden="false" customHeight="true" outlineLevel="0" collapsed="false">
      <c r="A40" s="7" t="n">
        <v>29</v>
      </c>
      <c r="B40" s="8" t="s">
        <v>95</v>
      </c>
      <c r="C40" s="9" t="s">
        <v>98</v>
      </c>
      <c r="D40" s="10" t="s">
        <v>99</v>
      </c>
      <c r="E40" s="10" t="s">
        <v>29</v>
      </c>
      <c r="F40" s="10" t="s">
        <v>16</v>
      </c>
      <c r="G40" s="10" t="s">
        <v>17</v>
      </c>
      <c r="H40" s="11" t="s">
        <v>100</v>
      </c>
    </row>
    <row r="41" customFormat="false" ht="21.75" hidden="false" customHeight="true" outlineLevel="0" collapsed="false">
      <c r="A41" s="12" t="n">
        <v>30</v>
      </c>
      <c r="B41" s="13" t="s">
        <v>95</v>
      </c>
      <c r="C41" s="13" t="s">
        <v>101</v>
      </c>
      <c r="D41" s="14" t="s">
        <v>14</v>
      </c>
      <c r="E41" s="14" t="s">
        <v>102</v>
      </c>
      <c r="F41" s="14" t="s">
        <v>23</v>
      </c>
      <c r="G41" s="14" t="s">
        <v>17</v>
      </c>
      <c r="H41" s="15" t="s">
        <v>103</v>
      </c>
    </row>
    <row r="42" customFormat="false" ht="21.75" hidden="false" customHeight="true" outlineLevel="0" collapsed="false">
      <c r="A42" s="12" t="n">
        <v>31</v>
      </c>
      <c r="B42" s="13" t="s">
        <v>95</v>
      </c>
      <c r="C42" s="13" t="s">
        <v>104</v>
      </c>
      <c r="D42" s="14" t="s">
        <v>35</v>
      </c>
      <c r="E42" s="14" t="s">
        <v>54</v>
      </c>
      <c r="F42" s="14" t="s">
        <v>23</v>
      </c>
      <c r="G42" s="14" t="s">
        <v>17</v>
      </c>
      <c r="H42" s="15" t="s">
        <v>105</v>
      </c>
    </row>
    <row r="43" customFormat="false" ht="21.75" hidden="false" customHeight="true" outlineLevel="0" collapsed="false">
      <c r="A43" s="16" t="n">
        <v>32</v>
      </c>
      <c r="B43" s="17" t="s">
        <v>95</v>
      </c>
      <c r="C43" s="17" t="s">
        <v>106</v>
      </c>
      <c r="D43" s="18" t="s">
        <v>14</v>
      </c>
      <c r="E43" s="18" t="s">
        <v>57</v>
      </c>
      <c r="F43" s="18" t="s">
        <v>30</v>
      </c>
      <c r="G43" s="18" t="s">
        <v>17</v>
      </c>
      <c r="H43" s="19" t="s">
        <v>107</v>
      </c>
    </row>
    <row r="44" customFormat="false" ht="21.75" hidden="false" customHeight="true" outlineLevel="0" collapsed="false">
      <c r="A44" s="16" t="n">
        <v>33</v>
      </c>
      <c r="B44" s="17" t="s">
        <v>95</v>
      </c>
      <c r="C44" s="17" t="s">
        <v>108</v>
      </c>
      <c r="D44" s="18" t="s">
        <v>35</v>
      </c>
      <c r="E44" s="18" t="s">
        <v>109</v>
      </c>
      <c r="F44" s="18" t="s">
        <v>30</v>
      </c>
      <c r="G44" s="18" t="s">
        <v>17</v>
      </c>
      <c r="H44" s="19" t="s">
        <v>110</v>
      </c>
    </row>
    <row r="45" customFormat="false" ht="19.5" hidden="false" customHeight="true" outlineLevel="0" collapsed="false">
      <c r="A45" s="6" t="s">
        <v>111</v>
      </c>
      <c r="B45" s="6"/>
      <c r="C45" s="6"/>
      <c r="D45" s="6"/>
      <c r="E45" s="6"/>
      <c r="F45" s="6"/>
      <c r="G45" s="6"/>
      <c r="H45" s="6"/>
    </row>
    <row r="46" customFormat="false" ht="21.75" hidden="false" customHeight="true" outlineLevel="0" collapsed="false">
      <c r="A46" s="7" t="n">
        <v>34</v>
      </c>
      <c r="B46" s="8" t="s">
        <v>112</v>
      </c>
      <c r="C46" s="9" t="s">
        <v>113</v>
      </c>
      <c r="D46" s="10" t="s">
        <v>114</v>
      </c>
      <c r="E46" s="10" t="s">
        <v>102</v>
      </c>
      <c r="F46" s="10" t="s">
        <v>16</v>
      </c>
      <c r="G46" s="10" t="s">
        <v>17</v>
      </c>
      <c r="H46" s="11" t="s">
        <v>115</v>
      </c>
    </row>
    <row r="47" customFormat="false" ht="21.75" hidden="false" customHeight="true" outlineLevel="0" collapsed="false">
      <c r="A47" s="12" t="n">
        <v>35</v>
      </c>
      <c r="B47" s="13" t="s">
        <v>112</v>
      </c>
      <c r="C47" s="13" t="s">
        <v>116</v>
      </c>
      <c r="D47" s="14" t="s">
        <v>114</v>
      </c>
      <c r="E47" s="14" t="s">
        <v>117</v>
      </c>
      <c r="F47" s="14" t="s">
        <v>23</v>
      </c>
      <c r="G47" s="14" t="s">
        <v>17</v>
      </c>
      <c r="H47" s="15" t="s">
        <v>118</v>
      </c>
    </row>
    <row r="48" customFormat="false" ht="21.75" hidden="false" customHeight="true" outlineLevel="0" collapsed="false">
      <c r="A48" s="16" t="n">
        <v>36</v>
      </c>
      <c r="B48" s="17" t="s">
        <v>112</v>
      </c>
      <c r="C48" s="17" t="s">
        <v>119</v>
      </c>
      <c r="D48" s="18" t="s">
        <v>114</v>
      </c>
      <c r="E48" s="18" t="s">
        <v>29</v>
      </c>
      <c r="F48" s="18" t="s">
        <v>30</v>
      </c>
      <c r="G48" s="18" t="s">
        <v>17</v>
      </c>
      <c r="H48" s="19" t="s">
        <v>120</v>
      </c>
    </row>
    <row r="49" customFormat="false" ht="21.75" hidden="false" customHeight="true" outlineLevel="0" collapsed="false">
      <c r="A49" s="12" t="n">
        <v>37</v>
      </c>
      <c r="B49" s="13" t="s">
        <v>112</v>
      </c>
      <c r="C49" s="13" t="s">
        <v>121</v>
      </c>
      <c r="D49" s="14" t="s">
        <v>14</v>
      </c>
      <c r="E49" s="14" t="s">
        <v>26</v>
      </c>
      <c r="F49" s="14" t="s">
        <v>23</v>
      </c>
      <c r="G49" s="14" t="s">
        <v>17</v>
      </c>
      <c r="H49" s="15" t="s">
        <v>122</v>
      </c>
    </row>
    <row r="50" customFormat="false" ht="19.5" hidden="false" customHeight="true" outlineLevel="0" collapsed="false">
      <c r="A50" s="6" t="s">
        <v>123</v>
      </c>
      <c r="B50" s="6"/>
      <c r="C50" s="6"/>
      <c r="D50" s="6"/>
      <c r="E50" s="6"/>
      <c r="F50" s="6"/>
      <c r="G50" s="6"/>
      <c r="H50" s="6"/>
    </row>
    <row r="51" customFormat="false" ht="21.75" hidden="false" customHeight="true" outlineLevel="0" collapsed="false">
      <c r="A51" s="7" t="n">
        <v>38</v>
      </c>
      <c r="B51" s="8" t="s">
        <v>124</v>
      </c>
      <c r="C51" s="9" t="s">
        <v>125</v>
      </c>
      <c r="D51" s="10" t="s">
        <v>14</v>
      </c>
      <c r="E51" s="10" t="s">
        <v>22</v>
      </c>
      <c r="F51" s="10" t="s">
        <v>16</v>
      </c>
      <c r="G51" s="10" t="s">
        <v>17</v>
      </c>
      <c r="H51" s="11" t="s">
        <v>126</v>
      </c>
    </row>
    <row r="52" customFormat="false" ht="21.75" hidden="false" customHeight="true" outlineLevel="0" collapsed="false">
      <c r="A52" s="12" t="n">
        <v>39</v>
      </c>
      <c r="B52" s="13" t="s">
        <v>124</v>
      </c>
      <c r="C52" s="13" t="s">
        <v>127</v>
      </c>
      <c r="D52" s="14" t="s">
        <v>128</v>
      </c>
      <c r="E52" s="14" t="s">
        <v>54</v>
      </c>
      <c r="F52" s="14" t="s">
        <v>23</v>
      </c>
      <c r="G52" s="14" t="s">
        <v>17</v>
      </c>
      <c r="H52" s="15" t="s">
        <v>129</v>
      </c>
    </row>
    <row r="53" customFormat="false" ht="21.75" hidden="false" customHeight="true" outlineLevel="0" collapsed="false">
      <c r="A53" s="12" t="n">
        <v>40</v>
      </c>
      <c r="B53" s="13" t="s">
        <v>124</v>
      </c>
      <c r="C53" s="13" t="s">
        <v>130</v>
      </c>
      <c r="D53" s="14" t="s">
        <v>128</v>
      </c>
      <c r="E53" s="14" t="s">
        <v>54</v>
      </c>
      <c r="F53" s="14" t="s">
        <v>23</v>
      </c>
      <c r="G53" s="14" t="s">
        <v>17</v>
      </c>
      <c r="H53" s="15" t="s">
        <v>131</v>
      </c>
    </row>
    <row r="54" customFormat="false" ht="21.75" hidden="false" customHeight="true" outlineLevel="0" collapsed="false">
      <c r="A54" s="16" t="n">
        <v>41</v>
      </c>
      <c r="B54" s="17" t="s">
        <v>124</v>
      </c>
      <c r="C54" s="17" t="s">
        <v>132</v>
      </c>
      <c r="D54" s="18" t="s">
        <v>46</v>
      </c>
      <c r="E54" s="18" t="s">
        <v>57</v>
      </c>
      <c r="F54" s="18" t="s">
        <v>30</v>
      </c>
      <c r="G54" s="18" t="s">
        <v>17</v>
      </c>
      <c r="H54" s="19" t="s">
        <v>133</v>
      </c>
    </row>
    <row r="55" customFormat="false" ht="21.75" hidden="false" customHeight="true" outlineLevel="0" collapsed="false">
      <c r="A55" s="7" t="n">
        <v>42</v>
      </c>
      <c r="B55" s="8" t="s">
        <v>124</v>
      </c>
      <c r="C55" s="9" t="s">
        <v>134</v>
      </c>
      <c r="D55" s="10" t="s">
        <v>14</v>
      </c>
      <c r="E55" s="10" t="s">
        <v>109</v>
      </c>
      <c r="F55" s="10" t="s">
        <v>16</v>
      </c>
      <c r="G55" s="10" t="s">
        <v>17</v>
      </c>
      <c r="H55" s="11" t="s">
        <v>135</v>
      </c>
    </row>
    <row r="56" customFormat="false" ht="21.75" hidden="false" customHeight="true" outlineLevel="0" collapsed="false">
      <c r="A56" s="12" t="n">
        <v>43</v>
      </c>
      <c r="B56" s="13" t="s">
        <v>124</v>
      </c>
      <c r="C56" s="13" t="s">
        <v>136</v>
      </c>
      <c r="D56" s="14" t="s">
        <v>14</v>
      </c>
      <c r="E56" s="14" t="s">
        <v>36</v>
      </c>
      <c r="F56" s="14" t="s">
        <v>23</v>
      </c>
      <c r="G56" s="14" t="s">
        <v>17</v>
      </c>
      <c r="H56" s="15" t="s">
        <v>137</v>
      </c>
    </row>
    <row r="57" customFormat="false" ht="21.75" hidden="false" customHeight="true" outlineLevel="0" collapsed="false">
      <c r="A57" s="16" t="n">
        <v>44</v>
      </c>
      <c r="B57" s="17" t="s">
        <v>124</v>
      </c>
      <c r="C57" s="17" t="s">
        <v>138</v>
      </c>
      <c r="D57" s="18" t="s">
        <v>14</v>
      </c>
      <c r="E57" s="18" t="s">
        <v>54</v>
      </c>
      <c r="F57" s="18" t="s">
        <v>91</v>
      </c>
      <c r="G57" s="18" t="s">
        <v>17</v>
      </c>
      <c r="H57" s="19" t="s">
        <v>139</v>
      </c>
    </row>
    <row r="58" customFormat="false" ht="19.5" hidden="false" customHeight="true" outlineLevel="0" collapsed="false">
      <c r="A58" s="6" t="s">
        <v>140</v>
      </c>
      <c r="B58" s="6"/>
      <c r="C58" s="6"/>
      <c r="D58" s="6"/>
      <c r="E58" s="6"/>
      <c r="F58" s="6"/>
      <c r="G58" s="6"/>
      <c r="H58" s="6"/>
    </row>
    <row r="59" customFormat="false" ht="21.75" hidden="false" customHeight="true" outlineLevel="0" collapsed="false">
      <c r="A59" s="7" t="n">
        <v>45</v>
      </c>
      <c r="B59" s="8" t="s">
        <v>141</v>
      </c>
      <c r="C59" s="9" t="s">
        <v>142</v>
      </c>
      <c r="D59" s="10" t="s">
        <v>143</v>
      </c>
      <c r="E59" s="10" t="s">
        <v>15</v>
      </c>
      <c r="F59" s="10" t="s">
        <v>16</v>
      </c>
      <c r="G59" s="10" t="s">
        <v>17</v>
      </c>
      <c r="H59" s="11" t="s">
        <v>144</v>
      </c>
    </row>
    <row r="60" customFormat="false" ht="21.75" hidden="false" customHeight="true" outlineLevel="0" collapsed="false">
      <c r="A60" s="7" t="n">
        <v>46</v>
      </c>
      <c r="B60" s="8" t="s">
        <v>141</v>
      </c>
      <c r="C60" s="9" t="s">
        <v>145</v>
      </c>
      <c r="D60" s="10" t="s">
        <v>143</v>
      </c>
      <c r="E60" s="10" t="s">
        <v>15</v>
      </c>
      <c r="F60" s="10" t="s">
        <v>16</v>
      </c>
      <c r="G60" s="10" t="s">
        <v>17</v>
      </c>
      <c r="H60" s="11" t="s">
        <v>146</v>
      </c>
    </row>
    <row r="61" customFormat="false" ht="21.75" hidden="false" customHeight="true" outlineLevel="0" collapsed="false">
      <c r="A61" s="12" t="n">
        <v>47</v>
      </c>
      <c r="B61" s="13" t="s">
        <v>141</v>
      </c>
      <c r="C61" s="13" t="s">
        <v>147</v>
      </c>
      <c r="D61" s="14" t="s">
        <v>143</v>
      </c>
      <c r="E61" s="14" t="s">
        <v>102</v>
      </c>
      <c r="F61" s="14" t="s">
        <v>23</v>
      </c>
      <c r="G61" s="14" t="s">
        <v>17</v>
      </c>
      <c r="H61" s="15" t="s">
        <v>148</v>
      </c>
    </row>
    <row r="62" customFormat="false" ht="21.75" hidden="false" customHeight="true" outlineLevel="0" collapsed="false">
      <c r="A62" s="12" t="n">
        <v>48</v>
      </c>
      <c r="B62" s="13" t="s">
        <v>141</v>
      </c>
      <c r="C62" s="13" t="s">
        <v>149</v>
      </c>
      <c r="D62" s="14" t="s">
        <v>143</v>
      </c>
      <c r="E62" s="14" t="s">
        <v>22</v>
      </c>
      <c r="F62" s="14" t="s">
        <v>23</v>
      </c>
      <c r="G62" s="14" t="s">
        <v>17</v>
      </c>
      <c r="H62" s="15" t="s">
        <v>150</v>
      </c>
    </row>
    <row r="63" customFormat="false" ht="21.75" hidden="false" customHeight="true" outlineLevel="0" collapsed="false">
      <c r="A63" s="16" t="n">
        <v>49</v>
      </c>
      <c r="B63" s="17" t="s">
        <v>141</v>
      </c>
      <c r="C63" s="17" t="s">
        <v>151</v>
      </c>
      <c r="D63" s="18" t="s">
        <v>46</v>
      </c>
      <c r="E63" s="18" t="s">
        <v>102</v>
      </c>
      <c r="F63" s="18" t="s">
        <v>30</v>
      </c>
      <c r="G63" s="18" t="s">
        <v>17</v>
      </c>
      <c r="H63" s="19" t="s">
        <v>152</v>
      </c>
    </row>
    <row r="64" customFormat="false" ht="19.5" hidden="false" customHeight="true" outlineLevel="0" collapsed="false">
      <c r="A64" s="6" t="s">
        <v>153</v>
      </c>
      <c r="B64" s="6"/>
      <c r="C64" s="6"/>
      <c r="D64" s="6"/>
      <c r="E64" s="6"/>
      <c r="F64" s="6"/>
      <c r="G64" s="6"/>
      <c r="H64" s="6"/>
    </row>
    <row r="65" customFormat="false" ht="21.75" hidden="false" customHeight="true" outlineLevel="0" collapsed="false">
      <c r="A65" s="12" t="n">
        <v>50</v>
      </c>
      <c r="B65" s="13" t="s">
        <v>154</v>
      </c>
      <c r="C65" s="13" t="s">
        <v>155</v>
      </c>
      <c r="D65" s="14" t="s">
        <v>35</v>
      </c>
      <c r="E65" s="14" t="s">
        <v>22</v>
      </c>
      <c r="F65" s="14" t="s">
        <v>23</v>
      </c>
      <c r="G65" s="14" t="s">
        <v>17</v>
      </c>
      <c r="H65" s="15" t="s">
        <v>156</v>
      </c>
    </row>
    <row r="66" customFormat="false" ht="21.75" hidden="false" customHeight="true" outlineLevel="0" collapsed="false">
      <c r="A66" s="7" t="n">
        <v>51</v>
      </c>
      <c r="B66" s="8" t="s">
        <v>154</v>
      </c>
      <c r="C66" s="9" t="s">
        <v>157</v>
      </c>
      <c r="D66" s="10" t="s">
        <v>35</v>
      </c>
      <c r="E66" s="10" t="s">
        <v>54</v>
      </c>
      <c r="F66" s="10" t="s">
        <v>16</v>
      </c>
      <c r="G66" s="10" t="s">
        <v>17</v>
      </c>
      <c r="H66" s="11" t="s">
        <v>158</v>
      </c>
    </row>
    <row r="67" customFormat="false" ht="21.75" hidden="false" customHeight="true" outlineLevel="0" collapsed="false">
      <c r="A67" s="16" t="n">
        <v>52</v>
      </c>
      <c r="B67" s="17" t="s">
        <v>154</v>
      </c>
      <c r="C67" s="17" t="s">
        <v>159</v>
      </c>
      <c r="D67" s="18" t="s">
        <v>35</v>
      </c>
      <c r="E67" s="18" t="s">
        <v>36</v>
      </c>
      <c r="F67" s="18" t="s">
        <v>30</v>
      </c>
      <c r="G67" s="18" t="s">
        <v>17</v>
      </c>
      <c r="H67" s="19" t="s">
        <v>160</v>
      </c>
    </row>
    <row r="68" customFormat="false" ht="21.75" hidden="false" customHeight="true" outlineLevel="0" collapsed="false">
      <c r="A68" s="12" t="n">
        <v>53</v>
      </c>
      <c r="B68" s="13" t="s">
        <v>154</v>
      </c>
      <c r="C68" s="13" t="s">
        <v>161</v>
      </c>
      <c r="D68" s="14" t="s">
        <v>143</v>
      </c>
      <c r="E68" s="14" t="s">
        <v>29</v>
      </c>
      <c r="F68" s="14" t="s">
        <v>23</v>
      </c>
      <c r="G68" s="14" t="s">
        <v>17</v>
      </c>
      <c r="H68" s="15" t="s">
        <v>162</v>
      </c>
    </row>
    <row r="69" customFormat="false" ht="21.75" hidden="false" customHeight="true" outlineLevel="0" collapsed="false">
      <c r="A69" s="16" t="n">
        <v>54</v>
      </c>
      <c r="B69" s="17" t="s">
        <v>154</v>
      </c>
      <c r="C69" s="17" t="s">
        <v>163</v>
      </c>
      <c r="D69" s="18" t="s">
        <v>143</v>
      </c>
      <c r="E69" s="18" t="s">
        <v>57</v>
      </c>
      <c r="F69" s="18" t="s">
        <v>30</v>
      </c>
      <c r="G69" s="18" t="s">
        <v>17</v>
      </c>
      <c r="H69" s="19" t="s">
        <v>164</v>
      </c>
    </row>
    <row r="70" customFormat="false" ht="19.5" hidden="false" customHeight="true" outlineLevel="0" collapsed="false">
      <c r="A70" s="6" t="s">
        <v>165</v>
      </c>
      <c r="B70" s="6"/>
      <c r="C70" s="6"/>
      <c r="D70" s="6"/>
      <c r="E70" s="6"/>
      <c r="F70" s="6"/>
      <c r="G70" s="6"/>
      <c r="H70" s="6"/>
    </row>
    <row r="71" customFormat="false" ht="21.75" hidden="false" customHeight="true" outlineLevel="0" collapsed="false">
      <c r="A71" s="7" t="n">
        <v>55</v>
      </c>
      <c r="B71" s="8" t="s">
        <v>166</v>
      </c>
      <c r="C71" s="9" t="s">
        <v>167</v>
      </c>
      <c r="D71" s="10" t="s">
        <v>14</v>
      </c>
      <c r="E71" s="10" t="s">
        <v>168</v>
      </c>
      <c r="F71" s="10" t="s">
        <v>16</v>
      </c>
      <c r="G71" s="10" t="s">
        <v>17</v>
      </c>
      <c r="H71" s="11" t="s">
        <v>169</v>
      </c>
    </row>
    <row r="72" customFormat="false" ht="21.75" hidden="false" customHeight="true" outlineLevel="0" collapsed="false">
      <c r="A72" s="16" t="n">
        <v>56</v>
      </c>
      <c r="B72" s="17" t="s">
        <v>166</v>
      </c>
      <c r="C72" s="17" t="s">
        <v>170</v>
      </c>
      <c r="D72" s="18" t="s">
        <v>35</v>
      </c>
      <c r="E72" s="18" t="s">
        <v>36</v>
      </c>
      <c r="F72" s="18" t="s">
        <v>30</v>
      </c>
      <c r="G72" s="18" t="s">
        <v>17</v>
      </c>
      <c r="H72" s="19" t="s">
        <v>171</v>
      </c>
    </row>
    <row r="73" customFormat="false" ht="21.75" hidden="false" customHeight="true" outlineLevel="0" collapsed="false">
      <c r="A73" s="16" t="n">
        <v>57</v>
      </c>
      <c r="B73" s="17" t="s">
        <v>166</v>
      </c>
      <c r="C73" s="17" t="s">
        <v>172</v>
      </c>
      <c r="D73" s="18" t="s">
        <v>35</v>
      </c>
      <c r="E73" s="18" t="s">
        <v>36</v>
      </c>
      <c r="F73" s="18" t="s">
        <v>91</v>
      </c>
      <c r="G73" s="18" t="s">
        <v>17</v>
      </c>
      <c r="H73" s="19" t="s">
        <v>173</v>
      </c>
    </row>
    <row r="74" customFormat="false" ht="21.75" hidden="false" customHeight="true" outlineLevel="0" collapsed="false">
      <c r="A74" s="16" t="n">
        <v>58</v>
      </c>
      <c r="B74" s="17" t="s">
        <v>166</v>
      </c>
      <c r="C74" s="17" t="s">
        <v>174</v>
      </c>
      <c r="D74" s="18" t="s">
        <v>143</v>
      </c>
      <c r="E74" s="18" t="s">
        <v>54</v>
      </c>
      <c r="F74" s="18" t="s">
        <v>30</v>
      </c>
      <c r="G74" s="18" t="s">
        <v>17</v>
      </c>
      <c r="H74" s="19" t="s">
        <v>175</v>
      </c>
    </row>
    <row r="75" customFormat="false" ht="21.75" hidden="false" customHeight="true" outlineLevel="0" collapsed="false">
      <c r="A75" s="12" t="n">
        <v>59</v>
      </c>
      <c r="B75" s="13" t="s">
        <v>166</v>
      </c>
      <c r="C75" s="13" t="s">
        <v>176</v>
      </c>
      <c r="D75" s="14" t="s">
        <v>143</v>
      </c>
      <c r="E75" s="14" t="s">
        <v>29</v>
      </c>
      <c r="F75" s="14" t="s">
        <v>23</v>
      </c>
      <c r="G75" s="14" t="s">
        <v>17</v>
      </c>
      <c r="H75" s="15" t="s">
        <v>177</v>
      </c>
    </row>
    <row r="76" customFormat="false" ht="21.75" hidden="false" customHeight="true" outlineLevel="0" collapsed="false">
      <c r="A76" s="7" t="n">
        <v>60</v>
      </c>
      <c r="B76" s="8" t="s">
        <v>166</v>
      </c>
      <c r="C76" s="9" t="s">
        <v>178</v>
      </c>
      <c r="D76" s="10" t="s">
        <v>14</v>
      </c>
      <c r="E76" s="10" t="s">
        <v>179</v>
      </c>
      <c r="F76" s="10" t="s">
        <v>16</v>
      </c>
      <c r="G76" s="10" t="s">
        <v>17</v>
      </c>
      <c r="H76" s="11" t="s">
        <v>180</v>
      </c>
    </row>
    <row r="78" customFormat="false" ht="19.5" hidden="false" customHeight="true" outlineLevel="0" collapsed="false">
      <c r="A78" s="6" t="s">
        <v>181</v>
      </c>
      <c r="B78" s="6"/>
      <c r="C78" s="6"/>
      <c r="D78" s="6"/>
      <c r="E78" s="6"/>
      <c r="F78" s="6"/>
      <c r="G78" s="6"/>
      <c r="H78" s="6"/>
    </row>
    <row r="79" customFormat="false" ht="21.75" hidden="false" customHeight="true" outlineLevel="0" collapsed="false">
      <c r="A79" s="7" t="n">
        <v>61</v>
      </c>
      <c r="B79" s="8" t="s">
        <v>182</v>
      </c>
      <c r="C79" s="9" t="s">
        <v>183</v>
      </c>
      <c r="D79" s="10" t="s">
        <v>14</v>
      </c>
      <c r="E79" s="10" t="s">
        <v>184</v>
      </c>
      <c r="F79" s="10" t="s">
        <v>16</v>
      </c>
      <c r="G79" s="10" t="s">
        <v>17</v>
      </c>
      <c r="H79" s="11" t="s">
        <v>185</v>
      </c>
    </row>
    <row r="80" customFormat="false" ht="21.75" hidden="false" customHeight="true" outlineLevel="0" collapsed="false">
      <c r="A80" s="7" t="n">
        <v>62</v>
      </c>
      <c r="B80" s="8" t="s">
        <v>182</v>
      </c>
      <c r="C80" s="9" t="s">
        <v>186</v>
      </c>
      <c r="D80" s="10" t="s">
        <v>35</v>
      </c>
      <c r="E80" s="10" t="s">
        <v>54</v>
      </c>
      <c r="F80" s="10" t="s">
        <v>16</v>
      </c>
      <c r="G80" s="10" t="s">
        <v>17</v>
      </c>
      <c r="H80" s="11" t="s">
        <v>187</v>
      </c>
    </row>
    <row r="81" customFormat="false" ht="21.75" hidden="false" customHeight="true" outlineLevel="0" collapsed="false">
      <c r="A81" s="12" t="n">
        <v>63</v>
      </c>
      <c r="B81" s="13" t="s">
        <v>182</v>
      </c>
      <c r="C81" s="13" t="s">
        <v>188</v>
      </c>
      <c r="D81" s="14" t="s">
        <v>14</v>
      </c>
      <c r="E81" s="14" t="s">
        <v>102</v>
      </c>
      <c r="F81" s="14" t="s">
        <v>23</v>
      </c>
      <c r="G81" s="14" t="s">
        <v>17</v>
      </c>
      <c r="H81" s="15" t="s">
        <v>189</v>
      </c>
    </row>
    <row r="82" customFormat="false" ht="21.75" hidden="false" customHeight="true" outlineLevel="0" collapsed="false">
      <c r="A82" s="7" t="n">
        <v>64</v>
      </c>
      <c r="B82" s="8" t="s">
        <v>182</v>
      </c>
      <c r="C82" s="9" t="s">
        <v>190</v>
      </c>
      <c r="D82" s="10" t="s">
        <v>14</v>
      </c>
      <c r="E82" s="10" t="s">
        <v>22</v>
      </c>
      <c r="F82" s="10" t="s">
        <v>16</v>
      </c>
      <c r="G82" s="10" t="s">
        <v>17</v>
      </c>
      <c r="H82" s="11" t="s">
        <v>191</v>
      </c>
    </row>
    <row r="83" customFormat="false" ht="21.75" hidden="false" customHeight="true" outlineLevel="0" collapsed="false">
      <c r="A83" s="12" t="n">
        <v>65</v>
      </c>
      <c r="B83" s="13" t="s">
        <v>182</v>
      </c>
      <c r="C83" s="13" t="s">
        <v>192</v>
      </c>
      <c r="D83" s="14" t="s">
        <v>14</v>
      </c>
      <c r="E83" s="14" t="s">
        <v>22</v>
      </c>
      <c r="F83" s="14" t="s">
        <v>23</v>
      </c>
      <c r="G83" s="14" t="s">
        <v>17</v>
      </c>
      <c r="H83" s="15" t="s">
        <v>193</v>
      </c>
    </row>
    <row r="84" customFormat="false" ht="21.75" hidden="false" customHeight="true" outlineLevel="0" collapsed="false">
      <c r="A84" s="12" t="n">
        <v>66</v>
      </c>
      <c r="B84" s="13" t="s">
        <v>182</v>
      </c>
      <c r="C84" s="13" t="s">
        <v>194</v>
      </c>
      <c r="D84" s="14" t="s">
        <v>43</v>
      </c>
      <c r="E84" s="14" t="s">
        <v>29</v>
      </c>
      <c r="F84" s="14" t="s">
        <v>23</v>
      </c>
      <c r="G84" s="14" t="s">
        <v>17</v>
      </c>
      <c r="H84" s="15" t="s">
        <v>195</v>
      </c>
    </row>
  </sheetData>
  <mergeCells count="14">
    <mergeCell ref="A1:H1"/>
    <mergeCell ref="A2:H2"/>
    <mergeCell ref="A4:H4"/>
    <mergeCell ref="A7:H7"/>
    <mergeCell ref="A16:H16"/>
    <mergeCell ref="A23:H23"/>
    <mergeCell ref="A30:H30"/>
    <mergeCell ref="A38:H38"/>
    <mergeCell ref="A45:H45"/>
    <mergeCell ref="A50:H50"/>
    <mergeCell ref="A58:H58"/>
    <mergeCell ref="A64:H64"/>
    <mergeCell ref="A70:H70"/>
    <mergeCell ref="A78:H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52"/>
    <col collapsed="false" customWidth="true" hidden="false" outlineLevel="0" max="5" min="3" style="1" width="16"/>
    <col collapsed="false" customWidth="true" hidden="false" outlineLevel="0" max="6" min="6" style="1" width="38"/>
  </cols>
  <sheetData>
    <row r="1" customFormat="false" ht="33.75" hidden="false" customHeight="true" outlineLevel="0" collapsed="false">
      <c r="A1" s="21" t="s">
        <v>196</v>
      </c>
      <c r="B1" s="21"/>
      <c r="C1" s="21"/>
      <c r="D1" s="21"/>
      <c r="E1" s="21"/>
      <c r="F1" s="21"/>
    </row>
    <row r="2" customFormat="false" ht="18" hidden="false" customHeight="true" outlineLevel="0" collapsed="false">
      <c r="A2" s="3" t="s">
        <v>197</v>
      </c>
      <c r="B2" s="3"/>
      <c r="C2" s="3"/>
      <c r="D2" s="3"/>
      <c r="E2" s="3"/>
      <c r="F2" s="3"/>
    </row>
    <row r="3" customFormat="false" ht="7.5" hidden="false" customHeight="true" outlineLevel="0" collapsed="false"/>
    <row r="4" customFormat="false" ht="21.75" hidden="false" customHeight="true" outlineLevel="0" collapsed="false">
      <c r="A4" s="5" t="s">
        <v>198</v>
      </c>
      <c r="B4" s="5" t="s">
        <v>4</v>
      </c>
      <c r="C4" s="5" t="s">
        <v>199</v>
      </c>
      <c r="D4" s="5" t="s">
        <v>200</v>
      </c>
      <c r="E4" s="5" t="s">
        <v>201</v>
      </c>
      <c r="F4" s="5" t="s">
        <v>202</v>
      </c>
    </row>
    <row r="5" customFormat="false" ht="19.5" hidden="false" customHeight="true" outlineLevel="0" collapsed="false">
      <c r="A5" s="16" t="n">
        <v>1</v>
      </c>
      <c r="B5" s="17" t="s">
        <v>203</v>
      </c>
      <c r="C5" s="22" t="n">
        <v>15000</v>
      </c>
      <c r="D5" s="23"/>
      <c r="E5" s="24"/>
      <c r="F5" s="25"/>
    </row>
    <row r="6" customFormat="false" ht="19.5" hidden="false" customHeight="true" outlineLevel="0" collapsed="false">
      <c r="A6" s="26" t="n">
        <v>2</v>
      </c>
      <c r="B6" s="27" t="s">
        <v>204</v>
      </c>
      <c r="C6" s="28" t="n">
        <v>18000</v>
      </c>
      <c r="D6" s="23"/>
      <c r="E6" s="24"/>
      <c r="F6" s="29"/>
    </row>
    <row r="7" customFormat="false" ht="19.5" hidden="false" customHeight="true" outlineLevel="0" collapsed="false">
      <c r="A7" s="16" t="n">
        <v>3</v>
      </c>
      <c r="B7" s="17" t="s">
        <v>205</v>
      </c>
      <c r="C7" s="22" t="n">
        <v>20000</v>
      </c>
      <c r="D7" s="23"/>
      <c r="E7" s="24"/>
      <c r="F7" s="25"/>
    </row>
    <row r="8" customFormat="false" ht="19.5" hidden="false" customHeight="true" outlineLevel="0" collapsed="false">
      <c r="A8" s="26" t="n">
        <v>4</v>
      </c>
      <c r="B8" s="27" t="s">
        <v>206</v>
      </c>
      <c r="C8" s="28" t="n">
        <v>25000</v>
      </c>
      <c r="D8" s="23"/>
      <c r="E8" s="24"/>
      <c r="F8" s="29"/>
    </row>
    <row r="9" customFormat="false" ht="19.5" hidden="false" customHeight="true" outlineLevel="0" collapsed="false">
      <c r="A9" s="16" t="n">
        <v>5</v>
      </c>
      <c r="B9" s="17" t="s">
        <v>207</v>
      </c>
      <c r="C9" s="22" t="n">
        <v>30000</v>
      </c>
      <c r="D9" s="23"/>
      <c r="E9" s="24"/>
      <c r="F9" s="30" t="s">
        <v>208</v>
      </c>
    </row>
    <row r="10" customFormat="false" ht="19.5" hidden="false" customHeight="true" outlineLevel="0" collapsed="false">
      <c r="A10" s="26" t="n">
        <v>6</v>
      </c>
      <c r="B10" s="27" t="s">
        <v>209</v>
      </c>
      <c r="C10" s="28" t="n">
        <v>38000</v>
      </c>
      <c r="D10" s="23"/>
      <c r="E10" s="24"/>
      <c r="F10" s="29"/>
    </row>
    <row r="11" customFormat="false" ht="19.5" hidden="false" customHeight="true" outlineLevel="0" collapsed="false">
      <c r="A11" s="16" t="n">
        <v>7</v>
      </c>
      <c r="B11" s="17" t="s">
        <v>210</v>
      </c>
      <c r="C11" s="22" t="n">
        <v>75000</v>
      </c>
      <c r="D11" s="23"/>
      <c r="E11" s="24"/>
      <c r="F11" s="25"/>
    </row>
    <row r="12" customFormat="false" ht="19.5" hidden="false" customHeight="true" outlineLevel="0" collapsed="false">
      <c r="A12" s="26" t="n">
        <v>8</v>
      </c>
      <c r="B12" s="27" t="s">
        <v>211</v>
      </c>
      <c r="C12" s="28" t="n">
        <v>25000</v>
      </c>
      <c r="D12" s="23"/>
      <c r="E12" s="24"/>
      <c r="F12" s="29"/>
    </row>
    <row r="13" customFormat="false" ht="19.5" hidden="false" customHeight="true" outlineLevel="0" collapsed="false">
      <c r="A13" s="16" t="n">
        <v>9</v>
      </c>
      <c r="B13" s="17" t="s">
        <v>212</v>
      </c>
      <c r="C13" s="22" t="n">
        <v>7500</v>
      </c>
      <c r="D13" s="23"/>
      <c r="E13" s="24"/>
      <c r="F13" s="25"/>
    </row>
    <row r="14" customFormat="false" ht="21.75" hidden="false" customHeight="true" outlineLevel="0" collapsed="false">
      <c r="A14" s="31"/>
      <c r="B14" s="32" t="s">
        <v>213</v>
      </c>
      <c r="C14" s="33" t="n">
        <f aca="false">SUM(C5:C13)</f>
        <v>253500</v>
      </c>
      <c r="D14" s="34" t="n">
        <f aca="false">SUM(D5:D13)</f>
        <v>0</v>
      </c>
      <c r="E14" s="35" t="n">
        <f aca="false">SUM(E5:E13)</f>
        <v>0</v>
      </c>
      <c r="F14" s="36" t="s">
        <v>214</v>
      </c>
    </row>
    <row r="16" customFormat="false" ht="21.75" hidden="false" customHeight="true" outlineLevel="0" collapsed="false">
      <c r="A16" s="37"/>
      <c r="B16" s="38" t="s">
        <v>215</v>
      </c>
      <c r="C16" s="39" t="n">
        <f aca="false">C14-D14</f>
        <v>253500</v>
      </c>
      <c r="D16" s="40" t="s">
        <v>216</v>
      </c>
      <c r="E16" s="37"/>
      <c r="F16" s="37"/>
    </row>
    <row r="18" customFormat="false" ht="18" hidden="false" customHeight="true" outlineLevel="0" collapsed="false">
      <c r="A18" s="41" t="s">
        <v>217</v>
      </c>
      <c r="B18" s="41"/>
      <c r="C18" s="41"/>
      <c r="D18" s="41"/>
      <c r="E18" s="41"/>
      <c r="F18" s="41"/>
    </row>
  </sheetData>
  <mergeCells count="3">
    <mergeCell ref="A1:F1"/>
    <mergeCell ref="A2:F2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8"/>
    <col collapsed="false" customWidth="true" hidden="false" outlineLevel="0" max="3" min="3" style="1" width="36"/>
    <col collapsed="false" customWidth="true" hidden="false" outlineLevel="0" max="4" min="4" style="1" width="16"/>
    <col collapsed="false" customWidth="true" hidden="false" outlineLevel="0" max="5" min="5" style="1" width="22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8"/>
    <col collapsed="false" customWidth="true" hidden="false" outlineLevel="0" max="9" min="9" style="1" width="20"/>
    <col collapsed="false" customWidth="true" hidden="false" outlineLevel="0" max="10" min="10" style="0" width="18"/>
  </cols>
  <sheetData>
    <row r="1" customFormat="false" ht="31.5" hidden="false" customHeight="true" outlineLevel="0" collapsed="false">
      <c r="A1" s="42" t="s">
        <v>218</v>
      </c>
      <c r="B1" s="42"/>
      <c r="C1" s="42"/>
      <c r="D1" s="42"/>
      <c r="E1" s="42"/>
      <c r="F1" s="42"/>
      <c r="G1" s="42"/>
      <c r="H1" s="42"/>
      <c r="I1" s="42"/>
    </row>
    <row r="2" customFormat="false" ht="18" hidden="false" customHeight="true" outlineLevel="0" collapsed="false">
      <c r="A2" s="3" t="s">
        <v>219</v>
      </c>
      <c r="B2" s="3"/>
      <c r="C2" s="3"/>
      <c r="D2" s="3"/>
      <c r="E2" s="3"/>
      <c r="F2" s="3"/>
      <c r="G2" s="3"/>
      <c r="H2" s="3"/>
      <c r="I2" s="3"/>
    </row>
    <row r="3" customFormat="false" ht="7.5" hidden="false" customHeight="true" outlineLevel="0" collapsed="false"/>
    <row r="4" customFormat="false" ht="21.75" hidden="false" customHeight="true" outlineLevel="0" collapsed="false">
      <c r="A4" s="5" t="s">
        <v>3</v>
      </c>
      <c r="B4" s="5" t="s">
        <v>220</v>
      </c>
      <c r="C4" s="5" t="s">
        <v>221</v>
      </c>
      <c r="D4" s="5" t="s">
        <v>222</v>
      </c>
      <c r="E4" s="5" t="s">
        <v>223</v>
      </c>
      <c r="F4" s="5" t="s">
        <v>224</v>
      </c>
      <c r="G4" s="5" t="s">
        <v>225</v>
      </c>
      <c r="H4" s="5" t="s">
        <v>226</v>
      </c>
      <c r="I4" s="5" t="s">
        <v>227</v>
      </c>
      <c r="J4" s="5" t="s">
        <v>228</v>
      </c>
    </row>
    <row r="5" customFormat="false" ht="21.75" hidden="false" customHeight="true" outlineLevel="0" collapsed="false">
      <c r="A5" s="16" t="n">
        <v>1</v>
      </c>
      <c r="B5" s="43" t="s">
        <v>229</v>
      </c>
      <c r="C5" s="25" t="s">
        <v>230</v>
      </c>
      <c r="D5" s="17"/>
      <c r="E5" s="44"/>
      <c r="F5" s="44"/>
      <c r="G5" s="17"/>
      <c r="H5" s="17"/>
      <c r="I5" s="17"/>
      <c r="J5" s="45"/>
    </row>
    <row r="6" customFormat="false" ht="21.75" hidden="false" customHeight="true" outlineLevel="0" collapsed="false">
      <c r="A6" s="26" t="n">
        <v>2</v>
      </c>
      <c r="B6" s="46" t="s">
        <v>231</v>
      </c>
      <c r="C6" s="29" t="s">
        <v>232</v>
      </c>
      <c r="D6" s="27"/>
      <c r="E6" s="44"/>
      <c r="F6" s="44"/>
      <c r="G6" s="27"/>
      <c r="H6" s="27"/>
      <c r="I6" s="27"/>
      <c r="J6" s="45"/>
    </row>
    <row r="7" customFormat="false" ht="21.75" hidden="false" customHeight="true" outlineLevel="0" collapsed="false">
      <c r="A7" s="16" t="n">
        <v>3</v>
      </c>
      <c r="B7" s="43" t="s">
        <v>233</v>
      </c>
      <c r="C7" s="25" t="s">
        <v>234</v>
      </c>
      <c r="D7" s="17"/>
      <c r="E7" s="44"/>
      <c r="F7" s="44"/>
      <c r="G7" s="17"/>
      <c r="H7" s="17"/>
      <c r="I7" s="17"/>
      <c r="J7" s="45"/>
    </row>
    <row r="8" customFormat="false" ht="21.75" hidden="false" customHeight="true" outlineLevel="0" collapsed="false">
      <c r="A8" s="26" t="n">
        <v>4</v>
      </c>
      <c r="B8" s="46" t="s">
        <v>235</v>
      </c>
      <c r="C8" s="29" t="s">
        <v>236</v>
      </c>
      <c r="D8" s="27"/>
      <c r="E8" s="44"/>
      <c r="F8" s="44"/>
      <c r="G8" s="27"/>
      <c r="H8" s="27"/>
      <c r="I8" s="27"/>
      <c r="J8" s="45"/>
    </row>
    <row r="9" customFormat="false" ht="21.75" hidden="false" customHeight="true" outlineLevel="0" collapsed="false">
      <c r="A9" s="16" t="n">
        <v>5</v>
      </c>
      <c r="B9" s="43" t="s">
        <v>237</v>
      </c>
      <c r="C9" s="25" t="s">
        <v>238</v>
      </c>
      <c r="D9" s="17"/>
      <c r="E9" s="44"/>
      <c r="F9" s="44"/>
      <c r="G9" s="17"/>
      <c r="H9" s="17"/>
      <c r="I9" s="17"/>
      <c r="J9" s="45"/>
    </row>
    <row r="10" customFormat="false" ht="21.75" hidden="false" customHeight="true" outlineLevel="0" collapsed="false">
      <c r="A10" s="26" t="n">
        <v>6</v>
      </c>
      <c r="B10" s="46" t="s">
        <v>239</v>
      </c>
      <c r="C10" s="29" t="s">
        <v>240</v>
      </c>
      <c r="D10" s="27"/>
      <c r="E10" s="44"/>
      <c r="F10" s="44"/>
      <c r="G10" s="27"/>
      <c r="H10" s="27"/>
      <c r="I10" s="27"/>
      <c r="J10" s="45"/>
    </row>
    <row r="11" customFormat="false" ht="21.75" hidden="false" customHeight="true" outlineLevel="0" collapsed="false">
      <c r="A11" s="16" t="n">
        <v>7</v>
      </c>
      <c r="B11" s="43" t="s">
        <v>241</v>
      </c>
      <c r="C11" s="25" t="s">
        <v>242</v>
      </c>
      <c r="D11" s="17"/>
      <c r="E11" s="44"/>
      <c r="F11" s="44"/>
      <c r="G11" s="17"/>
      <c r="H11" s="17"/>
      <c r="I11" s="17"/>
      <c r="J11" s="45"/>
    </row>
    <row r="12" customFormat="false" ht="21.75" hidden="false" customHeight="true" outlineLevel="0" collapsed="false">
      <c r="A12" s="26" t="n">
        <v>8</v>
      </c>
      <c r="B12" s="46" t="s">
        <v>243</v>
      </c>
      <c r="C12" s="29" t="s">
        <v>244</v>
      </c>
      <c r="D12" s="27"/>
      <c r="E12" s="44"/>
      <c r="F12" s="44"/>
      <c r="G12" s="27"/>
      <c r="H12" s="27"/>
      <c r="I12" s="27"/>
      <c r="J12" s="45"/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2026-05-20T11:39:25Z</dcterms:created>
  <dc:creator>openpyxl</dc:creator>
  <dc:description/>
  <dc:language>en-US</dc:language>
  <cp:lastModifiedBy/>
  <dcterms:modified xsi:type="dcterms:W3CDTF">2026-05-20T11:46:46Z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