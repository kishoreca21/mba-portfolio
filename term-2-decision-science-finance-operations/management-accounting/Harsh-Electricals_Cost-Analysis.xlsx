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aching\MDI\Courses\2025-26\MA II - PGHR\"/>
    </mc:Choice>
  </mc:AlternateContent>
  <xr:revisionPtr revIDLastSave="0" documentId="13_ncr:1_{F83C7FD6-B86A-42B6-8A8C-60AB0C66000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st Classification" sheetId="8" r:id="rId1"/>
    <sheet name="Product Profitability" sheetId="10" r:id="rId2"/>
    <sheet name="COGS Statement" sheetId="12" r:id="rId3"/>
    <sheet name="Projected Income Statement" sheetId="13" r:id="rId4"/>
    <sheet name="Variable Cost System" sheetId="6" r:id="rId5"/>
    <sheet name="BEP &amp; Target Sales" sheetId="15" r:id="rId6"/>
  </sheets>
  <calcPr calcId="191029"/>
</workbook>
</file>

<file path=xl/calcChain.xml><?xml version="1.0" encoding="utf-8"?>
<calcChain xmlns="http://schemas.openxmlformats.org/spreadsheetml/2006/main">
  <c r="C13" i="8" l="1"/>
  <c r="C12" i="8"/>
  <c r="D19" i="10"/>
  <c r="C19" i="10"/>
  <c r="B27" i="6"/>
  <c r="B21" i="6"/>
  <c r="B26" i="8"/>
  <c r="B25" i="8"/>
  <c r="B26" i="10"/>
  <c r="B18" i="12" s="1"/>
  <c r="B23" i="10"/>
  <c r="B15" i="12" s="1"/>
  <c r="B22" i="10"/>
  <c r="B14" i="12" s="1"/>
  <c r="B21" i="10"/>
  <c r="B13" i="12" s="1"/>
  <c r="B9" i="13"/>
  <c r="B7" i="13"/>
  <c r="C18" i="8"/>
  <c r="C11" i="13" s="1"/>
  <c r="B29" i="6" s="1"/>
  <c r="C17" i="8"/>
  <c r="B24" i="10" s="1"/>
  <c r="B38" i="8"/>
  <c r="B36" i="8"/>
  <c r="B35" i="8"/>
  <c r="B30" i="8"/>
  <c r="B28" i="8"/>
  <c r="B27" i="8"/>
  <c r="C9" i="8"/>
  <c r="B27" i="10" s="1"/>
  <c r="B19" i="12" s="1"/>
  <c r="C8" i="8"/>
  <c r="C6" i="8"/>
  <c r="B23" i="6" s="1"/>
  <c r="C5" i="8"/>
  <c r="B22" i="6" s="1"/>
  <c r="C7" i="8"/>
  <c r="C10" i="8" s="1"/>
  <c r="C6" i="6"/>
  <c r="C3" i="13"/>
  <c r="C17" i="10"/>
  <c r="B6" i="6" s="1"/>
  <c r="B30" i="10"/>
  <c r="B29" i="10"/>
  <c r="D14" i="10"/>
  <c r="C5" i="6"/>
  <c r="C14" i="10"/>
  <c r="B5" i="6" s="1"/>
  <c r="D12" i="10"/>
  <c r="C4" i="6" s="1"/>
  <c r="C12" i="10"/>
  <c r="B4" i="6" s="1"/>
  <c r="B9" i="6" s="1"/>
  <c r="B39" i="8"/>
  <c r="C14" i="8" s="1"/>
  <c r="B8" i="13" s="1"/>
  <c r="C9" i="13" s="1"/>
  <c r="C10" i="12" l="1"/>
  <c r="B25" i="6"/>
  <c r="B25" i="10"/>
  <c r="B17" i="12" s="1"/>
  <c r="C16" i="10"/>
  <c r="D16" i="10"/>
  <c r="C10" i="6"/>
  <c r="C12" i="6" s="1"/>
  <c r="C9" i="6"/>
  <c r="B10" i="6"/>
  <c r="B12" i="6" s="1"/>
  <c r="C3" i="15" s="1"/>
  <c r="D3" i="15" s="1"/>
  <c r="B4" i="12"/>
  <c r="C6" i="12" s="1"/>
  <c r="C8" i="12" s="1"/>
  <c r="B16" i="12"/>
  <c r="C19" i="12" s="1"/>
  <c r="B28" i="6"/>
  <c r="C14" i="6"/>
  <c r="C4" i="15"/>
  <c r="D4" i="15" s="1"/>
  <c r="C9" i="12"/>
  <c r="C7" i="12"/>
  <c r="B28" i="10"/>
  <c r="B31" i="10"/>
  <c r="B31" i="8"/>
  <c r="B30" i="6" l="1"/>
  <c r="D15" i="6" s="1"/>
  <c r="D6" i="15" s="1"/>
  <c r="D5" i="15"/>
  <c r="C11" i="12"/>
  <c r="C20" i="12" s="1"/>
  <c r="C23" i="12" s="1"/>
  <c r="B14" i="6"/>
  <c r="D14" i="6" s="1"/>
  <c r="D16" i="6" s="1"/>
  <c r="B32" i="10"/>
  <c r="D7" i="15"/>
  <c r="B19" i="15"/>
  <c r="B20" i="15" s="1"/>
  <c r="B22" i="15" l="1"/>
  <c r="B25" i="15" s="1"/>
  <c r="B21" i="15"/>
  <c r="D9" i="15"/>
  <c r="D12" i="15" s="1"/>
  <c r="D10" i="15"/>
  <c r="D13" i="15" s="1"/>
  <c r="C33" i="10"/>
  <c r="C34" i="10" s="1"/>
  <c r="D33" i="10"/>
  <c r="D34" i="10" s="1"/>
  <c r="D36" i="10" s="1"/>
  <c r="D37" i="10" s="1"/>
  <c r="D14" i="15" l="1"/>
  <c r="C25" i="12"/>
  <c r="C26" i="12" s="1"/>
  <c r="C4" i="13" s="1"/>
  <c r="C5" i="13" s="1"/>
  <c r="C10" i="13" s="1"/>
  <c r="C12" i="13" s="1"/>
  <c r="C15" i="13" s="1"/>
  <c r="C36" i="10"/>
  <c r="C37" i="10" s="1"/>
  <c r="B23" i="15"/>
  <c r="B24" i="15"/>
  <c r="B26" i="15" s="1"/>
  <c r="C16" i="13" l="1"/>
  <c r="C17" i="13" s="1"/>
</calcChain>
</file>

<file path=xl/sharedStrings.xml><?xml version="1.0" encoding="utf-8"?>
<sst xmlns="http://schemas.openxmlformats.org/spreadsheetml/2006/main" count="277" uniqueCount="178">
  <si>
    <t>Particulars</t>
  </si>
  <si>
    <t>Body</t>
  </si>
  <si>
    <t>Motor</t>
  </si>
  <si>
    <t>Pump</t>
  </si>
  <si>
    <t>Diverter</t>
  </si>
  <si>
    <t>Packing (Carton &amp; Labelling)</t>
  </si>
  <si>
    <t>Wheel</t>
  </si>
  <si>
    <t>Drilling bit</t>
  </si>
  <si>
    <t xml:space="preserve">Indirect Labour </t>
  </si>
  <si>
    <t>Selling Expenses</t>
  </si>
  <si>
    <t>Less: Tax</t>
  </si>
  <si>
    <t xml:space="preserve">Total </t>
  </si>
  <si>
    <t>Electricity</t>
  </si>
  <si>
    <t>Total</t>
  </si>
  <si>
    <t>Direct Labour</t>
  </si>
  <si>
    <t>Direct Expenses</t>
  </si>
  <si>
    <t>Manufacturing Overheads</t>
  </si>
  <si>
    <t>Rent (Factory)</t>
  </si>
  <si>
    <t>Direct materials used</t>
  </si>
  <si>
    <t>Revenue</t>
  </si>
  <si>
    <t>Contribution</t>
  </si>
  <si>
    <t>Model</t>
  </si>
  <si>
    <t>Normal</t>
  </si>
  <si>
    <t>Baleno</t>
  </si>
  <si>
    <t>Sales Mix</t>
  </si>
  <si>
    <t>BEP in bundles</t>
  </si>
  <si>
    <t>BEP in units</t>
  </si>
  <si>
    <t>BEP in revenue</t>
  </si>
  <si>
    <t>Blade, clamp and wiring</t>
  </si>
  <si>
    <t>Pipe, Water Distributor and Water Panel</t>
  </si>
  <si>
    <t>Period cost</t>
  </si>
  <si>
    <t>Prime Cost</t>
  </si>
  <si>
    <t>Manufacturing Overhead:</t>
  </si>
  <si>
    <t>Consumables</t>
  </si>
  <si>
    <t>Product Cost</t>
  </si>
  <si>
    <t>Amount (INR)</t>
  </si>
  <si>
    <t>Opening inventory of Raw Material</t>
  </si>
  <si>
    <t>Less: Opening inventory of Raw Material</t>
  </si>
  <si>
    <t>Direct Material (Consumed)</t>
  </si>
  <si>
    <t>Depreciation</t>
  </si>
  <si>
    <t>Factory Rent</t>
  </si>
  <si>
    <t>Cost of Production</t>
  </si>
  <si>
    <t>Add Opening WIP</t>
  </si>
  <si>
    <t>Less Closing WIP</t>
  </si>
  <si>
    <t>Cost of goods Manufactured</t>
  </si>
  <si>
    <t>Add Opening Inventory of Finished Goods</t>
  </si>
  <si>
    <t>Cost of Goods Sold</t>
  </si>
  <si>
    <t>Procurement charges</t>
  </si>
  <si>
    <t>5 labour</t>
  </si>
  <si>
    <t>Factory Insurance</t>
  </si>
  <si>
    <t>Fixed Cost</t>
  </si>
  <si>
    <t>Direct</t>
  </si>
  <si>
    <t>Indirect</t>
  </si>
  <si>
    <t>Cost</t>
  </si>
  <si>
    <t>Fixed</t>
  </si>
  <si>
    <t>Variable</t>
  </si>
  <si>
    <t>Product</t>
  </si>
  <si>
    <t>Period</t>
  </si>
  <si>
    <t>a</t>
  </si>
  <si>
    <t xml:space="preserve">a </t>
  </si>
  <si>
    <t xml:space="preserve">Depreciation on office equipment </t>
  </si>
  <si>
    <t>Office Rent</t>
  </si>
  <si>
    <t>Direct materials consumed</t>
  </si>
  <si>
    <t xml:space="preserve">Prime Cost </t>
  </si>
  <si>
    <t xml:space="preserve">Product Cost </t>
  </si>
  <si>
    <t>Product Profitability (in %)</t>
  </si>
  <si>
    <t>Classification</t>
  </si>
  <si>
    <t>COGS</t>
  </si>
  <si>
    <t>Gross Profit</t>
  </si>
  <si>
    <t>EBITDA</t>
  </si>
  <si>
    <t>EBIT</t>
  </si>
  <si>
    <t>Less: Interest</t>
  </si>
  <si>
    <t>Add: Interest earned on bank deposit</t>
  </si>
  <si>
    <t>Net Income/Profit before Tax</t>
  </si>
  <si>
    <t>Profit after Tax</t>
  </si>
  <si>
    <t>Variable Costs</t>
  </si>
  <si>
    <t>Contribution of the Bundle</t>
  </si>
  <si>
    <t xml:space="preserve">Normal </t>
  </si>
  <si>
    <t>Distribution</t>
  </si>
  <si>
    <t>Calculation of Fixed Costs</t>
  </si>
  <si>
    <t>Dep  on office equip.</t>
  </si>
  <si>
    <t>Total Units</t>
  </si>
  <si>
    <t>Mixed</t>
  </si>
  <si>
    <t>Procurement Expenses</t>
  </si>
  <si>
    <t xml:space="preserve">Selling Price </t>
  </si>
  <si>
    <t>Total Contribution</t>
  </si>
  <si>
    <t xml:space="preserve">Contribution Per Unit </t>
  </si>
  <si>
    <t xml:space="preserve">Fixed Costs </t>
  </si>
  <si>
    <t>Supervisor's Salary (Nagesh)</t>
  </si>
  <si>
    <t>Total Manufacturing Overheads</t>
  </si>
  <si>
    <t>Total (INR)</t>
  </si>
  <si>
    <t>Operating Expenses</t>
  </si>
  <si>
    <t>Fixes costs/Contribution</t>
  </si>
  <si>
    <t>Sales of Normal Model (in units)</t>
  </si>
  <si>
    <t>Sales of Baleno Model (in units)</t>
  </si>
  <si>
    <t xml:space="preserve">Selling &amp; Distribution </t>
  </si>
  <si>
    <t>Regular</t>
  </si>
  <si>
    <t>1hr @25/hr &amp;      1.2 hrs@25/hr</t>
  </si>
  <si>
    <t>Production of Standard Model</t>
  </si>
  <si>
    <t>Production of Baleno Model</t>
  </si>
  <si>
    <t>INR 10/unit</t>
  </si>
  <si>
    <t xml:space="preserve">Revenue </t>
  </si>
  <si>
    <t xml:space="preserve">Profit </t>
  </si>
  <si>
    <t>Add: Purchase of Raw Material 3260 standard@1778+810@2185</t>
  </si>
  <si>
    <t>Depreciation and Amortization on computer and furniture used for office</t>
  </si>
  <si>
    <t>Office Electricity</t>
  </si>
  <si>
    <t>Workshop Electricity</t>
  </si>
  <si>
    <t>During the season</t>
  </si>
  <si>
    <t>Standard Coolers</t>
  </si>
  <si>
    <t>Baleno Coolers</t>
  </si>
  <si>
    <t>Maintenance</t>
  </si>
  <si>
    <t>Factory Lighting</t>
  </si>
  <si>
    <t>During off season</t>
  </si>
  <si>
    <t>Office Computer</t>
  </si>
  <si>
    <t>Office Lighting</t>
  </si>
  <si>
    <t>Office Lighting &amp; Computer</t>
  </si>
  <si>
    <t xml:space="preserve">Total Fixed Costs </t>
  </si>
  <si>
    <t>Per unit Var Cost</t>
  </si>
  <si>
    <t>Units Sold</t>
  </si>
  <si>
    <t>Depreciation Workshop</t>
  </si>
  <si>
    <t xml:space="preserve">Baleno </t>
  </si>
  <si>
    <t>Desired Contribution</t>
  </si>
  <si>
    <t>Reruired Sales in bundles</t>
  </si>
  <si>
    <t xml:space="preserve">Traceability </t>
  </si>
  <si>
    <t xml:space="preserve">Behavioral </t>
  </si>
  <si>
    <t>Inventoriable/ Financial statement</t>
  </si>
  <si>
    <t>Raw Materials (Exhibit 4 of the case)</t>
  </si>
  <si>
    <t>1050 sqft @8 per month</t>
  </si>
  <si>
    <t>Note</t>
  </si>
  <si>
    <t>Total Cost</t>
  </si>
  <si>
    <t>All the figures are in INR</t>
  </si>
  <si>
    <t>150 sqft @8 per month</t>
  </si>
  <si>
    <t xml:space="preserve">3260 Standard @1778      810 Baleno @2185 </t>
  </si>
  <si>
    <t>Salary of Nagesh</t>
  </si>
  <si>
    <t>Contractual Amount</t>
  </si>
  <si>
    <t>1 hr for Standard@25/hr 1.2 hrs for Baleno@25/hr</t>
  </si>
  <si>
    <t>Casual workers (for 3260 Standard and 810 Baleno)</t>
  </si>
  <si>
    <t>Indirect (Set-up) Labour</t>
  </si>
  <si>
    <t>6 months@6000/month</t>
  </si>
  <si>
    <t>10 per unit of cooler</t>
  </si>
  <si>
    <t>Factory Electricity</t>
  </si>
  <si>
    <t>Actual during working and proportionate during off</t>
  </si>
  <si>
    <t>Lighting &amp; Maintenance</t>
  </si>
  <si>
    <t xml:space="preserve">Depreciation on Factory Machinery, Furnitures </t>
  </si>
  <si>
    <t>300000 for 5 years and 40000 for 10 years</t>
  </si>
  <si>
    <t>80000 for 5 years and 60000 for 10 years</t>
  </si>
  <si>
    <t>0.5% of raw materials</t>
  </si>
  <si>
    <t>Depreciation (Factory)</t>
  </si>
  <si>
    <t>Total Direct Labour Cost</t>
  </si>
  <si>
    <t>Cost Driver Rate/ Overhead Recovery Rate</t>
  </si>
  <si>
    <t xml:space="preserve">Office Rent </t>
  </si>
  <si>
    <t>Procurement Cost</t>
  </si>
  <si>
    <t>Sales of Normal Model (in Value)</t>
  </si>
  <si>
    <t>Sales of Baleno Model (in Value)</t>
  </si>
  <si>
    <t>Required Revenue for profit desired</t>
  </si>
  <si>
    <t>Nagesh's Salary</t>
  </si>
  <si>
    <t>Power</t>
  </si>
  <si>
    <t>Drilling Bits</t>
  </si>
  <si>
    <t>Power Expenses</t>
  </si>
  <si>
    <t>100 per unit of cooler sold</t>
  </si>
  <si>
    <t>335*4</t>
  </si>
  <si>
    <t>335*1</t>
  </si>
  <si>
    <t>1341 units@2500</t>
  </si>
  <si>
    <t>335 Units@3000</t>
  </si>
  <si>
    <t>1676 units</t>
  </si>
  <si>
    <t>Desired EBIT (as in 2010-11)</t>
  </si>
  <si>
    <t>Desired Profit (as in 2010-11)</t>
  </si>
  <si>
    <t>Procurement Charges</t>
  </si>
  <si>
    <r>
      <t>Less</t>
    </r>
    <r>
      <rPr>
        <b/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Closing Inventory of Finished Goods (60 Standard coolers@2054.46 and 10 Baleno@2518)</t>
    </r>
  </si>
  <si>
    <t>Power Consumption</t>
  </si>
  <si>
    <t>1 unit for Standard@10/unit 1.5 units for Baleno @10/unit</t>
  </si>
  <si>
    <t>Sales required for Desired Profit</t>
  </si>
  <si>
    <t>Calculation of Break Even Point</t>
  </si>
  <si>
    <t>Calculation of Profit in Variable/Marginal Cost System</t>
  </si>
  <si>
    <t>Projected Income Statement</t>
  </si>
  <si>
    <t>Statement of Cost of goods Sold</t>
  </si>
  <si>
    <t>Cost Classification of Harsh Electricals</t>
  </si>
  <si>
    <t>Product Profitability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</si>
</sst>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1"/>
      <color rgb="FF000000"/>
      <name val="Webdings"/>
      <family val="1"/>
      <charset val="2"/>
    </font>
    <font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Webdings"/>
      <family val="1"/>
      <charset val="2"/>
    </font>
    <font>
      <sz val="1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3" fillId="0" borderId="6" xfId="0" applyFont="1" applyBorder="1" applyAlignment="1">
      <alignment vertical="center" wrapText="1"/>
    </xf>
    <xf numFmtId="3" fontId="3" fillId="0" borderId="6" xfId="0" applyNumberFormat="1" applyFont="1" applyBorder="1" applyAlignment="1">
      <alignment vertical="center" wrapText="1"/>
    </xf>
    <xf numFmtId="0" fontId="0" fillId="0" borderId="6" xfId="0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1" fontId="3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1" fontId="4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15" fillId="0" borderId="1" xfId="0" applyFont="1" applyBorder="1"/>
    <xf numFmtId="0" fontId="3" fillId="0" borderId="3" xfId="0" applyFont="1" applyBorder="1" applyAlignment="1">
      <alignment vertical="center" wrapText="1"/>
    </xf>
    <xf numFmtId="0" fontId="1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/>
    <xf numFmtId="2" fontId="4" fillId="0" borderId="1" xfId="0" applyNumberFormat="1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vertical="center" wrapText="1"/>
    </xf>
    <xf numFmtId="2" fontId="13" fillId="0" borderId="1" xfId="0" applyNumberFormat="1" applyFont="1" applyBorder="1"/>
    <xf numFmtId="9" fontId="4" fillId="0" borderId="1" xfId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1" fontId="13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vertical="center" wrapText="1"/>
    </xf>
    <xf numFmtId="0" fontId="13" fillId="0" borderId="0" xfId="0" applyFont="1" applyAlignment="1">
      <alignment horizontal="left"/>
    </xf>
    <xf numFmtId="0" fontId="11" fillId="0" borderId="0" xfId="0" applyFont="1"/>
    <xf numFmtId="0" fontId="13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right" vertical="center" wrapText="1"/>
    </xf>
    <xf numFmtId="0" fontId="13" fillId="0" borderId="0" xfId="0" applyFont="1"/>
    <xf numFmtId="0" fontId="2" fillId="0" borderId="6" xfId="0" applyFont="1" applyBorder="1" applyAlignment="1">
      <alignment horizontal="center" vertical="center"/>
    </xf>
    <xf numFmtId="2" fontId="11" fillId="0" borderId="1" xfId="0" applyNumberFormat="1" applyFont="1" applyBorder="1"/>
    <xf numFmtId="0" fontId="11" fillId="0" borderId="1" xfId="0" applyFont="1" applyBorder="1" applyAlignment="1">
      <alignment vertical="center"/>
    </xf>
    <xf numFmtId="0" fontId="11" fillId="0" borderId="6" xfId="0" applyFont="1" applyBorder="1"/>
    <xf numFmtId="1" fontId="11" fillId="0" borderId="6" xfId="0" applyNumberFormat="1" applyFont="1" applyBorder="1"/>
    <xf numFmtId="0" fontId="13" fillId="0" borderId="6" xfId="0" applyFont="1" applyBorder="1" applyAlignment="1">
      <alignment horizontal="center"/>
    </xf>
    <xf numFmtId="0" fontId="13" fillId="0" borderId="6" xfId="0" applyFont="1" applyBorder="1"/>
    <xf numFmtId="0" fontId="4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3" fillId="0" borderId="8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19" xfId="0" applyFont="1" applyBorder="1" applyAlignment="1">
      <alignment wrapText="1"/>
    </xf>
    <xf numFmtId="3" fontId="3" fillId="0" borderId="9" xfId="0" applyNumberFormat="1" applyFont="1" applyBorder="1" applyAlignment="1">
      <alignment vertical="center" wrapText="1"/>
    </xf>
    <xf numFmtId="3" fontId="3" fillId="0" borderId="18" xfId="0" applyNumberFormat="1" applyFont="1" applyBorder="1" applyAlignment="1">
      <alignment vertical="center" wrapText="1"/>
    </xf>
    <xf numFmtId="3" fontId="3" fillId="0" borderId="11" xfId="0" applyNumberFormat="1" applyFont="1" applyBorder="1" applyAlignment="1">
      <alignment vertical="center" wrapText="1"/>
    </xf>
    <xf numFmtId="0" fontId="11" fillId="0" borderId="17" xfId="0" applyFont="1" applyBorder="1" applyAlignment="1">
      <alignment horizontal="center"/>
    </xf>
    <xf numFmtId="3" fontId="3" fillId="0" borderId="16" xfId="0" applyNumberFormat="1" applyFont="1" applyBorder="1" applyAlignment="1">
      <alignment vertical="center" wrapText="1"/>
    </xf>
    <xf numFmtId="3" fontId="3" fillId="0" borderId="15" xfId="0" applyNumberFormat="1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3" fontId="11" fillId="0" borderId="1" xfId="0" applyNumberFormat="1" applyFont="1" applyBorder="1"/>
    <xf numFmtId="1" fontId="13" fillId="0" borderId="1" xfId="0" applyNumberFormat="1" applyFont="1" applyBorder="1"/>
    <xf numFmtId="0" fontId="16" fillId="0" borderId="6" xfId="0" applyFont="1" applyBorder="1" applyAlignment="1">
      <alignment horizontal="left" vertical="center"/>
    </xf>
    <xf numFmtId="2" fontId="0" fillId="0" borderId="0" xfId="0" applyNumberFormat="1"/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3" fontId="3" fillId="0" borderId="24" xfId="0" applyNumberFormat="1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4" fontId="11" fillId="0" borderId="1" xfId="0" applyNumberFormat="1" applyFont="1" applyBorder="1"/>
    <xf numFmtId="4" fontId="11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3" fillId="0" borderId="10" xfId="0" applyNumberFormat="1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1" fillId="0" borderId="7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3" fillId="0" borderId="20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1" fillId="0" borderId="0" xfId="0" applyFont="1"/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1" fillId="0" borderId="8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3" fillId="0" borderId="10" xfId="0" applyFont="1" applyBorder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opLeftCell="A21" zoomScale="140" zoomScaleNormal="140" workbookViewId="0">
      <selection activeCell="B30" sqref="B30"/>
    </sheetView>
  </sheetViews>
  <sheetFormatPr defaultRowHeight="14.4" x14ac:dyDescent="0.3"/>
  <cols>
    <col min="1" max="1" width="25.6640625" customWidth="1"/>
    <col min="2" max="2" width="31.44140625" customWidth="1"/>
    <col min="3" max="3" width="10.109375" customWidth="1"/>
    <col min="4" max="4" width="7.109375" customWidth="1"/>
    <col min="5" max="5" width="7.5546875" customWidth="1"/>
    <col min="6" max="6" width="7" customWidth="1"/>
    <col min="7" max="7" width="8.6640625" customWidth="1"/>
    <col min="8" max="8" width="7" customWidth="1"/>
    <col min="9" max="9" width="8.44140625" customWidth="1"/>
    <col min="10" max="10" width="8.88671875" customWidth="1"/>
  </cols>
  <sheetData>
    <row r="1" spans="1:10" ht="15.6" x14ac:dyDescent="0.3">
      <c r="A1" s="109" t="s">
        <v>176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0" ht="30" customHeight="1" x14ac:dyDescent="0.3">
      <c r="A2" s="15"/>
      <c r="B2" s="114" t="s">
        <v>130</v>
      </c>
      <c r="C2" s="115"/>
      <c r="D2" s="110" t="s">
        <v>123</v>
      </c>
      <c r="E2" s="110"/>
      <c r="F2" s="111" t="s">
        <v>124</v>
      </c>
      <c r="G2" s="112"/>
      <c r="H2" s="112"/>
      <c r="I2" s="113" t="s">
        <v>125</v>
      </c>
      <c r="J2" s="112"/>
    </row>
    <row r="3" spans="1:10" x14ac:dyDescent="0.3">
      <c r="A3" s="66" t="s">
        <v>53</v>
      </c>
      <c r="B3" s="66" t="s">
        <v>128</v>
      </c>
      <c r="C3" s="66" t="s">
        <v>129</v>
      </c>
      <c r="D3" s="68" t="s">
        <v>51</v>
      </c>
      <c r="E3" s="68" t="s">
        <v>52</v>
      </c>
      <c r="F3" s="69" t="s">
        <v>54</v>
      </c>
      <c r="G3" s="69" t="s">
        <v>55</v>
      </c>
      <c r="H3" s="84" t="s">
        <v>82</v>
      </c>
      <c r="I3" s="72" t="s">
        <v>56</v>
      </c>
      <c r="J3" s="78" t="s">
        <v>57</v>
      </c>
    </row>
    <row r="4" spans="1:10" x14ac:dyDescent="0.3">
      <c r="A4" s="25" t="s">
        <v>133</v>
      </c>
      <c r="B4" s="25" t="s">
        <v>134</v>
      </c>
      <c r="C4" s="25">
        <v>600000</v>
      </c>
      <c r="D4" s="72"/>
      <c r="E4" s="71" t="s">
        <v>58</v>
      </c>
      <c r="F4" s="71" t="s">
        <v>58</v>
      </c>
      <c r="G4" s="72"/>
      <c r="H4" s="75"/>
      <c r="I4" s="105" t="s">
        <v>58</v>
      </c>
      <c r="J4" s="79"/>
    </row>
    <row r="5" spans="1:10" x14ac:dyDescent="0.3">
      <c r="A5" s="7" t="s">
        <v>40</v>
      </c>
      <c r="B5" s="74" t="s">
        <v>127</v>
      </c>
      <c r="C5" s="74">
        <f>1050*8*12</f>
        <v>100800</v>
      </c>
      <c r="D5" s="64"/>
      <c r="E5" s="10" t="s">
        <v>58</v>
      </c>
      <c r="F5" s="10" t="s">
        <v>58</v>
      </c>
      <c r="G5" s="10"/>
      <c r="H5" s="76"/>
      <c r="I5" s="105" t="s">
        <v>58</v>
      </c>
      <c r="J5" s="64"/>
    </row>
    <row r="6" spans="1:10" x14ac:dyDescent="0.3">
      <c r="A6" s="63" t="s">
        <v>61</v>
      </c>
      <c r="B6" s="74" t="s">
        <v>131</v>
      </c>
      <c r="C6" s="74">
        <f>150*8*12</f>
        <v>14400</v>
      </c>
      <c r="D6" s="64"/>
      <c r="E6" s="10" t="s">
        <v>58</v>
      </c>
      <c r="F6" s="10" t="s">
        <v>58</v>
      </c>
      <c r="G6" s="10"/>
      <c r="H6" s="76"/>
      <c r="I6" s="15"/>
      <c r="J6" s="64" t="s">
        <v>58</v>
      </c>
    </row>
    <row r="7" spans="1:10" ht="28.2" x14ac:dyDescent="0.3">
      <c r="A7" s="65" t="s">
        <v>126</v>
      </c>
      <c r="B7" s="73" t="s">
        <v>132</v>
      </c>
      <c r="C7" s="73">
        <f>(3260*1778)+(810*2185)</f>
        <v>7566130</v>
      </c>
      <c r="D7" s="70" t="s">
        <v>58</v>
      </c>
      <c r="E7" s="71"/>
      <c r="F7" s="71"/>
      <c r="G7" s="71" t="s">
        <v>58</v>
      </c>
      <c r="H7" s="77"/>
      <c r="I7" s="103" t="s">
        <v>58</v>
      </c>
      <c r="J7" s="70"/>
    </row>
    <row r="8" spans="1:10" ht="28.2" x14ac:dyDescent="0.3">
      <c r="A8" s="7" t="s">
        <v>136</v>
      </c>
      <c r="B8" s="74" t="s">
        <v>135</v>
      </c>
      <c r="C8" s="74">
        <f>(25*1*3260)+(25*1.2*810)</f>
        <v>105800</v>
      </c>
      <c r="D8" s="70" t="s">
        <v>58</v>
      </c>
      <c r="E8" s="71"/>
      <c r="F8" s="71"/>
      <c r="G8" s="71" t="s">
        <v>58</v>
      </c>
      <c r="H8" s="77"/>
      <c r="I8" s="103" t="s">
        <v>58</v>
      </c>
      <c r="J8" s="10"/>
    </row>
    <row r="9" spans="1:10" x14ac:dyDescent="0.3">
      <c r="A9" s="63" t="s">
        <v>137</v>
      </c>
      <c r="B9" s="74" t="s">
        <v>138</v>
      </c>
      <c r="C9" s="82">
        <f>6000*6</f>
        <v>36000</v>
      </c>
      <c r="D9" s="10"/>
      <c r="E9" s="10" t="s">
        <v>58</v>
      </c>
      <c r="F9" s="10" t="s">
        <v>58</v>
      </c>
      <c r="G9" s="10"/>
      <c r="H9" s="9"/>
      <c r="I9" s="106" t="s">
        <v>58</v>
      </c>
      <c r="J9" s="10"/>
    </row>
    <row r="10" spans="1:10" x14ac:dyDescent="0.3">
      <c r="A10" s="7" t="s">
        <v>83</v>
      </c>
      <c r="B10" s="80" t="s">
        <v>146</v>
      </c>
      <c r="C10" s="67">
        <f>C7*0.005</f>
        <v>37830.65</v>
      </c>
      <c r="D10" s="64" t="s">
        <v>58</v>
      </c>
      <c r="E10" s="10"/>
      <c r="F10" s="10"/>
      <c r="G10" s="10" t="s">
        <v>58</v>
      </c>
      <c r="H10" s="9"/>
      <c r="I10" s="102" t="s">
        <v>58</v>
      </c>
      <c r="J10" s="10"/>
    </row>
    <row r="11" spans="1:10" x14ac:dyDescent="0.3">
      <c r="A11" s="63" t="s">
        <v>7</v>
      </c>
      <c r="B11" s="20" t="s">
        <v>139</v>
      </c>
      <c r="C11" s="83">
        <v>40700</v>
      </c>
      <c r="D11" s="10" t="s">
        <v>58</v>
      </c>
      <c r="F11" s="10"/>
      <c r="G11" s="10" t="s">
        <v>58</v>
      </c>
      <c r="H11" s="9"/>
      <c r="I11" s="102" t="s">
        <v>59</v>
      </c>
      <c r="J11" s="10"/>
    </row>
    <row r="12" spans="1:10" ht="28.2" x14ac:dyDescent="0.3">
      <c r="A12" s="63" t="s">
        <v>169</v>
      </c>
      <c r="B12" s="74" t="s">
        <v>170</v>
      </c>
      <c r="C12" s="104">
        <f>B25+B26</f>
        <v>44750</v>
      </c>
      <c r="D12" s="10" t="s">
        <v>58</v>
      </c>
      <c r="F12" s="10"/>
      <c r="G12" s="10" t="s">
        <v>58</v>
      </c>
      <c r="H12" s="9"/>
      <c r="I12" s="102" t="s">
        <v>58</v>
      </c>
      <c r="J12" s="10"/>
    </row>
    <row r="13" spans="1:10" x14ac:dyDescent="0.3">
      <c r="A13" s="63" t="s">
        <v>140</v>
      </c>
      <c r="B13" s="107" t="s">
        <v>141</v>
      </c>
      <c r="C13" s="86">
        <f>B27+B28+B30</f>
        <v>71100</v>
      </c>
      <c r="D13" s="10" t="s">
        <v>58</v>
      </c>
      <c r="E13" s="10" t="s">
        <v>58</v>
      </c>
      <c r="F13" s="10"/>
      <c r="G13" s="10"/>
      <c r="H13" s="11" t="s">
        <v>58</v>
      </c>
      <c r="I13" s="106" t="s">
        <v>58</v>
      </c>
      <c r="J13" s="10"/>
    </row>
    <row r="14" spans="1:10" x14ac:dyDescent="0.3">
      <c r="A14" s="63" t="s">
        <v>105</v>
      </c>
      <c r="B14" s="108"/>
      <c r="C14" s="86">
        <f>B39</f>
        <v>16500</v>
      </c>
      <c r="D14" s="10"/>
      <c r="E14" s="10" t="s">
        <v>58</v>
      </c>
      <c r="F14" s="10"/>
      <c r="G14" s="10"/>
      <c r="H14" s="10" t="s">
        <v>58</v>
      </c>
      <c r="I14" s="10"/>
      <c r="J14" s="10" t="s">
        <v>58</v>
      </c>
    </row>
    <row r="15" spans="1:10" x14ac:dyDescent="0.3">
      <c r="A15" s="63" t="s">
        <v>49</v>
      </c>
      <c r="B15" s="20" t="s">
        <v>134</v>
      </c>
      <c r="C15" s="81">
        <v>25000</v>
      </c>
      <c r="D15" s="10"/>
      <c r="E15" s="10" t="s">
        <v>58</v>
      </c>
      <c r="F15" s="88" t="s">
        <v>58</v>
      </c>
      <c r="G15" s="10"/>
      <c r="H15" s="9"/>
      <c r="I15" s="106" t="s">
        <v>58</v>
      </c>
      <c r="J15" s="10"/>
    </row>
    <row r="16" spans="1:10" x14ac:dyDescent="0.3">
      <c r="A16" s="63" t="s">
        <v>33</v>
      </c>
      <c r="B16" s="15"/>
      <c r="C16" s="81">
        <v>45000</v>
      </c>
      <c r="D16" s="10"/>
      <c r="E16" s="87" t="s">
        <v>58</v>
      </c>
      <c r="F16" s="15"/>
      <c r="G16" s="64"/>
      <c r="H16" s="10" t="s">
        <v>58</v>
      </c>
      <c r="I16" s="106" t="s">
        <v>58</v>
      </c>
      <c r="J16" s="10"/>
    </row>
    <row r="17" spans="1:10" ht="27.6" x14ac:dyDescent="0.3">
      <c r="A17" s="7" t="s">
        <v>143</v>
      </c>
      <c r="B17" s="85" t="s">
        <v>144</v>
      </c>
      <c r="C17" s="8">
        <f>(300000/5)+(40000/10)</f>
        <v>64000</v>
      </c>
      <c r="D17" s="10"/>
      <c r="E17" s="10" t="s">
        <v>58</v>
      </c>
      <c r="F17" s="10" t="s">
        <v>58</v>
      </c>
      <c r="G17" s="10"/>
      <c r="H17" s="9"/>
      <c r="I17" s="106" t="s">
        <v>58</v>
      </c>
      <c r="J17" s="10"/>
    </row>
    <row r="18" spans="1:10" ht="27.6" x14ac:dyDescent="0.3">
      <c r="A18" s="63" t="s">
        <v>60</v>
      </c>
      <c r="B18" s="67" t="s">
        <v>145</v>
      </c>
      <c r="C18" s="81">
        <f>(60000/10)+(80000/5)</f>
        <v>22000</v>
      </c>
      <c r="D18" s="88"/>
      <c r="E18" s="88" t="s">
        <v>58</v>
      </c>
      <c r="F18" s="88" t="s">
        <v>58</v>
      </c>
      <c r="G18" s="10"/>
      <c r="H18" s="9"/>
      <c r="I18" s="10"/>
      <c r="J18" s="10" t="s">
        <v>58</v>
      </c>
    </row>
    <row r="19" spans="1:10" x14ac:dyDescent="0.3">
      <c r="A19" s="63" t="s">
        <v>9</v>
      </c>
      <c r="B19" s="20" t="s">
        <v>159</v>
      </c>
      <c r="C19" s="83">
        <v>400000</v>
      </c>
      <c r="D19" s="134" t="s">
        <v>58</v>
      </c>
      <c r="E19" s="15"/>
      <c r="F19" s="15"/>
      <c r="G19" s="64" t="s">
        <v>58</v>
      </c>
      <c r="H19" s="9"/>
      <c r="I19" s="10"/>
      <c r="J19" s="10" t="s">
        <v>58</v>
      </c>
    </row>
    <row r="23" spans="1:10" x14ac:dyDescent="0.3">
      <c r="A23" s="49" t="s">
        <v>106</v>
      </c>
      <c r="B23" s="46"/>
    </row>
    <row r="24" spans="1:10" x14ac:dyDescent="0.3">
      <c r="A24" s="60" t="s">
        <v>107</v>
      </c>
      <c r="B24" s="61"/>
    </row>
    <row r="25" spans="1:10" x14ac:dyDescent="0.3">
      <c r="A25" s="61" t="s">
        <v>108</v>
      </c>
      <c r="B25" s="62">
        <f>3260*1*10</f>
        <v>32600</v>
      </c>
      <c r="C25" s="135" t="s">
        <v>51</v>
      </c>
    </row>
    <row r="26" spans="1:10" x14ac:dyDescent="0.3">
      <c r="A26" s="61" t="s">
        <v>109</v>
      </c>
      <c r="B26" s="62">
        <f>810*1.5*10</f>
        <v>12150</v>
      </c>
      <c r="C26" s="135" t="s">
        <v>51</v>
      </c>
    </row>
    <row r="27" spans="1:10" x14ac:dyDescent="0.3">
      <c r="A27" s="61" t="s">
        <v>110</v>
      </c>
      <c r="B27" s="62">
        <f>10*6*10</f>
        <v>600</v>
      </c>
      <c r="C27" s="46" t="s">
        <v>52</v>
      </c>
    </row>
    <row r="28" spans="1:10" x14ac:dyDescent="0.3">
      <c r="A28" s="61" t="s">
        <v>111</v>
      </c>
      <c r="B28" s="62">
        <f>300*10*6</f>
        <v>18000</v>
      </c>
      <c r="C28" s="46" t="s">
        <v>52</v>
      </c>
    </row>
    <row r="29" spans="1:10" x14ac:dyDescent="0.3">
      <c r="A29" s="60" t="s">
        <v>112</v>
      </c>
      <c r="B29" s="46"/>
      <c r="C29" s="46"/>
    </row>
    <row r="30" spans="1:10" x14ac:dyDescent="0.3">
      <c r="A30" s="60" t="s">
        <v>142</v>
      </c>
      <c r="B30" s="62">
        <f>1000*10*6*7/8</f>
        <v>52500</v>
      </c>
      <c r="C30" s="46" t="s">
        <v>52</v>
      </c>
    </row>
    <row r="31" spans="1:10" x14ac:dyDescent="0.3">
      <c r="A31" s="61" t="s">
        <v>11</v>
      </c>
      <c r="B31" s="46">
        <f>SUM(B25:B30)</f>
        <v>115850</v>
      </c>
      <c r="C31" s="46"/>
    </row>
    <row r="32" spans="1:10" x14ac:dyDescent="0.3">
      <c r="A32" s="46"/>
      <c r="B32" s="46"/>
      <c r="C32" s="46"/>
    </row>
    <row r="33" spans="1:3" x14ac:dyDescent="0.3">
      <c r="A33" s="45" t="s">
        <v>105</v>
      </c>
      <c r="B33" s="46"/>
      <c r="C33" s="46"/>
    </row>
    <row r="34" spans="1:3" x14ac:dyDescent="0.3">
      <c r="A34" s="60" t="s">
        <v>107</v>
      </c>
      <c r="B34" s="46"/>
      <c r="C34" s="46"/>
    </row>
    <row r="35" spans="1:3" x14ac:dyDescent="0.3">
      <c r="A35" s="46" t="s">
        <v>113</v>
      </c>
      <c r="B35" s="46">
        <f>100*10*6</f>
        <v>6000</v>
      </c>
      <c r="C35" s="46" t="s">
        <v>52</v>
      </c>
    </row>
    <row r="36" spans="1:3" x14ac:dyDescent="0.3">
      <c r="A36" s="46" t="s">
        <v>114</v>
      </c>
      <c r="B36" s="46">
        <f>50*10*6</f>
        <v>3000</v>
      </c>
      <c r="C36" s="46" t="s">
        <v>52</v>
      </c>
    </row>
    <row r="37" spans="1:3" x14ac:dyDescent="0.3">
      <c r="A37" s="60" t="s">
        <v>112</v>
      </c>
      <c r="B37" s="46"/>
      <c r="C37" s="46"/>
    </row>
    <row r="38" spans="1:3" x14ac:dyDescent="0.3">
      <c r="A38" s="60" t="s">
        <v>115</v>
      </c>
      <c r="B38" s="62">
        <f>1000*10*6*1/8</f>
        <v>7500</v>
      </c>
      <c r="C38" s="46" t="s">
        <v>52</v>
      </c>
    </row>
    <row r="39" spans="1:3" x14ac:dyDescent="0.3">
      <c r="A39" s="61" t="s">
        <v>11</v>
      </c>
      <c r="B39" s="46">
        <f>SUM(B33:B38)</f>
        <v>16500</v>
      </c>
    </row>
  </sheetData>
  <mergeCells count="6">
    <mergeCell ref="B13:B14"/>
    <mergeCell ref="A1:J1"/>
    <mergeCell ref="D2:E2"/>
    <mergeCell ref="F2:H2"/>
    <mergeCell ref="I2:J2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topLeftCell="A18" zoomScale="150" zoomScaleNormal="150" workbookViewId="0">
      <selection activeCell="H12" sqref="H12"/>
    </sheetView>
  </sheetViews>
  <sheetFormatPr defaultRowHeight="14.4" x14ac:dyDescent="0.3"/>
  <cols>
    <col min="1" max="1" width="29.6640625" customWidth="1"/>
    <col min="2" max="2" width="14.5546875" customWidth="1"/>
    <col min="3" max="3" width="13.5546875" customWidth="1"/>
    <col min="4" max="4" width="12.44140625" customWidth="1"/>
  </cols>
  <sheetData>
    <row r="1" spans="1:4" x14ac:dyDescent="0.3">
      <c r="A1" s="117" t="s">
        <v>177</v>
      </c>
      <c r="B1" s="117"/>
      <c r="C1" s="117"/>
      <c r="D1" s="117"/>
    </row>
    <row r="2" spans="1:4" x14ac:dyDescent="0.3">
      <c r="A2" s="21" t="s">
        <v>0</v>
      </c>
      <c r="B2" s="15"/>
      <c r="C2" s="57" t="s">
        <v>96</v>
      </c>
      <c r="D2" s="57" t="s">
        <v>23</v>
      </c>
    </row>
    <row r="3" spans="1:4" x14ac:dyDescent="0.3">
      <c r="A3" s="23" t="s">
        <v>62</v>
      </c>
      <c r="B3" s="27" t="s">
        <v>90</v>
      </c>
      <c r="C3" s="27"/>
      <c r="D3" s="14"/>
    </row>
    <row r="4" spans="1:4" x14ac:dyDescent="0.3">
      <c r="A4" s="25" t="s">
        <v>1</v>
      </c>
      <c r="B4" s="25"/>
      <c r="C4" s="20">
        <v>650</v>
      </c>
      <c r="D4" s="20">
        <v>830</v>
      </c>
    </row>
    <row r="5" spans="1:4" x14ac:dyDescent="0.3">
      <c r="A5" s="25" t="s">
        <v>2</v>
      </c>
      <c r="B5" s="25"/>
      <c r="C5" s="20">
        <v>500</v>
      </c>
      <c r="D5" s="20">
        <v>630</v>
      </c>
    </row>
    <row r="6" spans="1:4" x14ac:dyDescent="0.3">
      <c r="A6" s="25" t="s">
        <v>3</v>
      </c>
      <c r="B6" s="25"/>
      <c r="C6" s="20">
        <v>90</v>
      </c>
      <c r="D6" s="20">
        <v>110</v>
      </c>
    </row>
    <row r="7" spans="1:4" x14ac:dyDescent="0.3">
      <c r="A7" s="25" t="s">
        <v>28</v>
      </c>
      <c r="B7" s="25"/>
      <c r="C7" s="20">
        <v>168</v>
      </c>
      <c r="D7" s="20">
        <v>205</v>
      </c>
    </row>
    <row r="8" spans="1:4" ht="27.6" x14ac:dyDescent="0.3">
      <c r="A8" s="25" t="s">
        <v>29</v>
      </c>
      <c r="B8" s="25"/>
      <c r="C8" s="20">
        <v>190</v>
      </c>
      <c r="D8" s="20">
        <v>210</v>
      </c>
    </row>
    <row r="9" spans="1:4" x14ac:dyDescent="0.3">
      <c r="A9" s="25" t="s">
        <v>4</v>
      </c>
      <c r="B9" s="25"/>
      <c r="C9" s="20">
        <v>110</v>
      </c>
      <c r="D9" s="20">
        <v>110</v>
      </c>
    </row>
    <row r="10" spans="1:4" x14ac:dyDescent="0.3">
      <c r="A10" s="25" t="s">
        <v>5</v>
      </c>
      <c r="B10" s="25"/>
      <c r="C10" s="20">
        <v>40</v>
      </c>
      <c r="D10" s="20">
        <v>50</v>
      </c>
    </row>
    <row r="11" spans="1:4" x14ac:dyDescent="0.3">
      <c r="A11" s="25" t="s">
        <v>6</v>
      </c>
      <c r="B11" s="25"/>
      <c r="C11" s="20">
        <v>30</v>
      </c>
      <c r="D11" s="20">
        <v>40</v>
      </c>
    </row>
    <row r="12" spans="1:4" x14ac:dyDescent="0.3">
      <c r="A12" s="22" t="s">
        <v>62</v>
      </c>
      <c r="B12" s="22"/>
      <c r="C12" s="24">
        <f>SUM(C4:C11)</f>
        <v>1778</v>
      </c>
      <c r="D12" s="24">
        <f t="shared" ref="D12" si="0">SUM(D4:D11)</f>
        <v>2185</v>
      </c>
    </row>
    <row r="13" spans="1:4" x14ac:dyDescent="0.3">
      <c r="A13" s="22" t="s">
        <v>14</v>
      </c>
      <c r="B13" s="25"/>
      <c r="C13" s="25"/>
      <c r="D13" s="14"/>
    </row>
    <row r="14" spans="1:4" ht="27.6" x14ac:dyDescent="0.3">
      <c r="A14" s="25" t="s">
        <v>48</v>
      </c>
      <c r="B14" s="25" t="s">
        <v>97</v>
      </c>
      <c r="C14" s="25">
        <f>1*25</f>
        <v>25</v>
      </c>
      <c r="D14" s="14">
        <f>1.2*25</f>
        <v>30</v>
      </c>
    </row>
    <row r="15" spans="1:4" x14ac:dyDescent="0.3">
      <c r="A15" s="22" t="s">
        <v>15</v>
      </c>
      <c r="B15" s="25"/>
      <c r="C15" s="25"/>
      <c r="D15" s="14"/>
    </row>
    <row r="16" spans="1:4" x14ac:dyDescent="0.3">
      <c r="A16" s="25" t="s">
        <v>47</v>
      </c>
      <c r="B16" s="25"/>
      <c r="C16" s="25">
        <f>C12*0.005</f>
        <v>8.89</v>
      </c>
      <c r="D16" s="25">
        <f>D12*0.005</f>
        <v>10.925000000000001</v>
      </c>
    </row>
    <row r="17" spans="1:4" x14ac:dyDescent="0.3">
      <c r="A17" s="25" t="s">
        <v>7</v>
      </c>
      <c r="B17" s="25" t="s">
        <v>100</v>
      </c>
      <c r="C17" s="25">
        <f>10*1</f>
        <v>10</v>
      </c>
      <c r="D17" s="14">
        <v>10</v>
      </c>
    </row>
    <row r="18" spans="1:4" x14ac:dyDescent="0.3">
      <c r="A18" s="25" t="s">
        <v>156</v>
      </c>
      <c r="B18" s="25"/>
      <c r="C18" s="25">
        <v>10</v>
      </c>
      <c r="D18" s="14">
        <v>15</v>
      </c>
    </row>
    <row r="19" spans="1:4" x14ac:dyDescent="0.3">
      <c r="A19" s="22" t="s">
        <v>63</v>
      </c>
      <c r="B19" s="22"/>
      <c r="C19" s="101">
        <f>SUM(C12:C18)</f>
        <v>1831.89</v>
      </c>
      <c r="D19" s="101">
        <f>SUM(D12:D18)</f>
        <v>2250.9250000000002</v>
      </c>
    </row>
    <row r="20" spans="1:4" x14ac:dyDescent="0.3">
      <c r="A20" s="22" t="s">
        <v>16</v>
      </c>
      <c r="B20" s="22"/>
      <c r="C20" s="22"/>
      <c r="D20" s="18"/>
    </row>
    <row r="21" spans="1:4" x14ac:dyDescent="0.3">
      <c r="A21" s="25" t="s">
        <v>88</v>
      </c>
      <c r="B21" s="20">
        <f>'Cost Classification'!C4</f>
        <v>600000</v>
      </c>
      <c r="C21" s="20"/>
      <c r="D21" s="14"/>
    </row>
    <row r="22" spans="1:4" x14ac:dyDescent="0.3">
      <c r="A22" s="25" t="s">
        <v>33</v>
      </c>
      <c r="B22" s="89">
        <f>'Cost Classification'!C16</f>
        <v>45000</v>
      </c>
      <c r="C22" s="20"/>
      <c r="D22" s="14"/>
    </row>
    <row r="23" spans="1:4" x14ac:dyDescent="0.3">
      <c r="A23" s="25" t="s">
        <v>17</v>
      </c>
      <c r="B23" s="20">
        <f>'Cost Classification'!C5</f>
        <v>100800</v>
      </c>
      <c r="C23" s="20"/>
      <c r="D23" s="14"/>
    </row>
    <row r="24" spans="1:4" x14ac:dyDescent="0.3">
      <c r="A24" s="25" t="s">
        <v>147</v>
      </c>
      <c r="B24" s="89">
        <f>'Cost Classification'!C17</f>
        <v>64000</v>
      </c>
      <c r="C24" s="20"/>
      <c r="D24" s="14"/>
    </row>
    <row r="25" spans="1:4" x14ac:dyDescent="0.3">
      <c r="A25" s="25" t="s">
        <v>140</v>
      </c>
      <c r="B25" s="89">
        <f>'Cost Classification'!B27+'Cost Classification'!B28+'Cost Classification'!B30</f>
        <v>71100</v>
      </c>
      <c r="C25" s="20"/>
      <c r="D25" s="26"/>
    </row>
    <row r="26" spans="1:4" x14ac:dyDescent="0.3">
      <c r="A26" s="25" t="s">
        <v>49</v>
      </c>
      <c r="B26" s="89">
        <f>'Cost Classification'!C15</f>
        <v>25000</v>
      </c>
      <c r="C26" s="20"/>
      <c r="D26" s="14"/>
    </row>
    <row r="27" spans="1:4" x14ac:dyDescent="0.3">
      <c r="A27" s="25" t="s">
        <v>8</v>
      </c>
      <c r="B27" s="89">
        <f>'Cost Classification'!C9</f>
        <v>36000</v>
      </c>
      <c r="C27" s="20"/>
      <c r="D27" s="14"/>
    </row>
    <row r="28" spans="1:4" ht="17.25" customHeight="1" x14ac:dyDescent="0.3">
      <c r="A28" s="25" t="s">
        <v>89</v>
      </c>
      <c r="B28" s="90">
        <f>SUM(B21:B27)</f>
        <v>941900</v>
      </c>
      <c r="C28" s="28"/>
      <c r="D28" s="17"/>
    </row>
    <row r="29" spans="1:4" ht="17.25" customHeight="1" x14ac:dyDescent="0.3">
      <c r="A29" s="25" t="s">
        <v>98</v>
      </c>
      <c r="B29" s="20">
        <f>3200+60</f>
        <v>3260</v>
      </c>
      <c r="C29" s="28"/>
      <c r="D29" s="17"/>
    </row>
    <row r="30" spans="1:4" ht="17.25" customHeight="1" x14ac:dyDescent="0.3">
      <c r="A30" s="25" t="s">
        <v>99</v>
      </c>
      <c r="B30" s="20">
        <f>800+10</f>
        <v>810</v>
      </c>
      <c r="C30" s="28"/>
      <c r="D30" s="17"/>
    </row>
    <row r="31" spans="1:4" ht="17.25" customHeight="1" x14ac:dyDescent="0.3">
      <c r="A31" s="25" t="s">
        <v>148</v>
      </c>
      <c r="B31" s="28">
        <f>(B29*C14)+(B30*D14)</f>
        <v>105800</v>
      </c>
      <c r="C31" s="28"/>
      <c r="D31" s="17"/>
    </row>
    <row r="32" spans="1:4" ht="32.25" customHeight="1" x14ac:dyDescent="0.3">
      <c r="A32" s="25" t="s">
        <v>149</v>
      </c>
      <c r="B32" s="30">
        <f>B28/B31</f>
        <v>8.9026465028355393</v>
      </c>
      <c r="C32" s="28"/>
      <c r="D32" s="17"/>
    </row>
    <row r="33" spans="1:10" ht="17.25" customHeight="1" x14ac:dyDescent="0.3">
      <c r="A33" s="22" t="s">
        <v>16</v>
      </c>
      <c r="B33" s="30"/>
      <c r="C33" s="33">
        <f>B32*C14</f>
        <v>222.56616257088848</v>
      </c>
      <c r="D33" s="31">
        <f>B32*D14</f>
        <v>267.07939508506615</v>
      </c>
      <c r="I33" s="92"/>
      <c r="J33" s="92"/>
    </row>
    <row r="34" spans="1:10" x14ac:dyDescent="0.3">
      <c r="A34" s="22" t="s">
        <v>64</v>
      </c>
      <c r="B34" s="22"/>
      <c r="C34" s="32">
        <f>C19+C33</f>
        <v>2054.4561625708884</v>
      </c>
      <c r="D34" s="32">
        <f>D19+D33</f>
        <v>2518.0043950850663</v>
      </c>
      <c r="I34" s="92"/>
      <c r="J34" s="92"/>
    </row>
    <row r="35" spans="1:10" x14ac:dyDescent="0.3">
      <c r="A35" s="25" t="s">
        <v>101</v>
      </c>
      <c r="B35" s="25"/>
      <c r="C35" s="22">
        <v>2500</v>
      </c>
      <c r="D35" s="22">
        <v>3000</v>
      </c>
      <c r="I35" s="92"/>
      <c r="J35" s="92"/>
    </row>
    <row r="36" spans="1:10" x14ac:dyDescent="0.3">
      <c r="A36" s="25" t="s">
        <v>102</v>
      </c>
      <c r="B36" s="25"/>
      <c r="C36" s="32">
        <f>C35-C34</f>
        <v>445.54383742911159</v>
      </c>
      <c r="D36" s="32">
        <f>D35-D34</f>
        <v>481.99560491493366</v>
      </c>
      <c r="I36" s="92"/>
      <c r="J36" s="92"/>
    </row>
    <row r="37" spans="1:10" x14ac:dyDescent="0.3">
      <c r="A37" s="22" t="s">
        <v>65</v>
      </c>
      <c r="B37" s="22"/>
      <c r="C37" s="34">
        <f>C36/C35</f>
        <v>0.17821753497164464</v>
      </c>
      <c r="D37" s="34">
        <f>D36/D35</f>
        <v>0.16066520163831122</v>
      </c>
      <c r="I37" s="92"/>
      <c r="J37" s="92"/>
    </row>
    <row r="38" spans="1:10" x14ac:dyDescent="0.3">
      <c r="A38" s="116"/>
      <c r="B38" s="116"/>
      <c r="C38" s="116"/>
      <c r="D38" s="116"/>
    </row>
    <row r="41" spans="1:10" x14ac:dyDescent="0.3">
      <c r="C41" s="16"/>
      <c r="D41" s="16"/>
    </row>
    <row r="42" spans="1:10" x14ac:dyDescent="0.3">
      <c r="C42" s="16"/>
      <c r="D42" s="16"/>
    </row>
    <row r="43" spans="1:10" x14ac:dyDescent="0.3">
      <c r="C43" s="16"/>
      <c r="D43" s="16"/>
    </row>
    <row r="44" spans="1:10" x14ac:dyDescent="0.3">
      <c r="C44" s="16"/>
      <c r="D44" s="16"/>
    </row>
    <row r="45" spans="1:10" x14ac:dyDescent="0.3">
      <c r="C45" s="16"/>
      <c r="D45" s="16"/>
    </row>
  </sheetData>
  <mergeCells count="2">
    <mergeCell ref="A38:D38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topLeftCell="A4" zoomScale="160" zoomScaleNormal="160" workbookViewId="0">
      <selection activeCell="G7" sqref="G7"/>
    </sheetView>
  </sheetViews>
  <sheetFormatPr defaultRowHeight="14.4" x14ac:dyDescent="0.3"/>
  <cols>
    <col min="1" max="1" width="45.6640625" bestFit="1" customWidth="1"/>
    <col min="2" max="2" width="13" customWidth="1"/>
    <col min="3" max="3" width="15" customWidth="1"/>
    <col min="9" max="9" width="31.6640625" customWidth="1"/>
  </cols>
  <sheetData>
    <row r="1" spans="1:3" ht="15.6" x14ac:dyDescent="0.3">
      <c r="A1" s="5" t="s">
        <v>175</v>
      </c>
      <c r="B1" s="1"/>
      <c r="C1" s="1"/>
    </row>
    <row r="2" spans="1:3" ht="31.2" x14ac:dyDescent="0.3">
      <c r="A2" s="29" t="s">
        <v>0</v>
      </c>
      <c r="B2" s="29" t="s">
        <v>35</v>
      </c>
      <c r="C2" s="29" t="s">
        <v>35</v>
      </c>
    </row>
    <row r="3" spans="1:3" x14ac:dyDescent="0.3">
      <c r="A3" s="25" t="s">
        <v>36</v>
      </c>
      <c r="B3" s="14">
        <v>0</v>
      </c>
      <c r="C3" s="22"/>
    </row>
    <row r="4" spans="1:3" ht="27.6" x14ac:dyDescent="0.3">
      <c r="A4" s="25" t="s">
        <v>103</v>
      </c>
      <c r="B4" s="20">
        <f>('Product Profitability'!B29*'Product Profitability'!C12)+('Product Profitability'!B30*'Product Profitability'!D12)</f>
        <v>7566130</v>
      </c>
      <c r="C4" s="22"/>
    </row>
    <row r="5" spans="1:3" x14ac:dyDescent="0.3">
      <c r="A5" s="25" t="s">
        <v>37</v>
      </c>
      <c r="B5" s="14">
        <v>0</v>
      </c>
      <c r="C5" s="22"/>
    </row>
    <row r="6" spans="1:3" x14ac:dyDescent="0.3">
      <c r="A6" s="14" t="s">
        <v>38</v>
      </c>
      <c r="B6" s="25"/>
      <c r="C6" s="20">
        <f>B3+B4-B5</f>
        <v>7566130</v>
      </c>
    </row>
    <row r="7" spans="1:3" x14ac:dyDescent="0.3">
      <c r="A7" s="14" t="s">
        <v>14</v>
      </c>
      <c r="B7" s="25"/>
      <c r="C7" s="14">
        <f>('Product Profitability'!B29*'Product Profitability'!C14)+('Product Profitability'!B30*'Product Profitability'!D14)</f>
        <v>105800</v>
      </c>
    </row>
    <row r="8" spans="1:3" x14ac:dyDescent="0.3">
      <c r="A8" s="14" t="s">
        <v>167</v>
      </c>
      <c r="B8" s="25"/>
      <c r="C8" s="17">
        <f>C6*0.005</f>
        <v>37830.65</v>
      </c>
    </row>
    <row r="9" spans="1:3" x14ac:dyDescent="0.3">
      <c r="A9" s="14" t="s">
        <v>157</v>
      </c>
      <c r="B9" s="25"/>
      <c r="C9" s="14">
        <f>('Product Profitability'!B29*'Product Profitability'!C17)+('Product Profitability'!B30*'Product Profitability'!D17)</f>
        <v>40700</v>
      </c>
    </row>
    <row r="10" spans="1:3" x14ac:dyDescent="0.3">
      <c r="A10" s="14" t="s">
        <v>158</v>
      </c>
      <c r="B10" s="25"/>
      <c r="C10" s="14">
        <f>'Cost Classification'!B25+'Cost Classification'!B26</f>
        <v>44750</v>
      </c>
    </row>
    <row r="11" spans="1:3" x14ac:dyDescent="0.3">
      <c r="A11" s="24" t="s">
        <v>31</v>
      </c>
      <c r="B11" s="25"/>
      <c r="C11" s="28">
        <f>SUM(C6:C10)</f>
        <v>7795210.6500000004</v>
      </c>
    </row>
    <row r="12" spans="1:3" x14ac:dyDescent="0.3">
      <c r="A12" s="22" t="s">
        <v>32</v>
      </c>
      <c r="B12" s="25"/>
      <c r="C12" s="22"/>
    </row>
    <row r="13" spans="1:3" x14ac:dyDescent="0.3">
      <c r="A13" s="25" t="s">
        <v>155</v>
      </c>
      <c r="B13" s="20">
        <f>'Product Profitability'!B21</f>
        <v>600000</v>
      </c>
      <c r="C13" s="22"/>
    </row>
    <row r="14" spans="1:3" x14ac:dyDescent="0.3">
      <c r="A14" s="25" t="s">
        <v>33</v>
      </c>
      <c r="B14" s="20">
        <f>'Product Profitability'!B22</f>
        <v>45000</v>
      </c>
      <c r="C14" s="22"/>
    </row>
    <row r="15" spans="1:3" x14ac:dyDescent="0.3">
      <c r="A15" s="25" t="s">
        <v>17</v>
      </c>
      <c r="B15" s="20">
        <f>'Product Profitability'!B23</f>
        <v>100800</v>
      </c>
      <c r="C15" s="22"/>
    </row>
    <row r="16" spans="1:3" x14ac:dyDescent="0.3">
      <c r="A16" s="25" t="s">
        <v>39</v>
      </c>
      <c r="B16" s="20">
        <f>'Product Profitability'!B24</f>
        <v>64000</v>
      </c>
      <c r="C16" s="22"/>
    </row>
    <row r="17" spans="1:9" x14ac:dyDescent="0.3">
      <c r="A17" s="25" t="s">
        <v>12</v>
      </c>
      <c r="B17" s="20">
        <f>'Product Profitability'!B25</f>
        <v>71100</v>
      </c>
      <c r="C17" s="22"/>
    </row>
    <row r="18" spans="1:9" x14ac:dyDescent="0.3">
      <c r="A18" s="25" t="s">
        <v>49</v>
      </c>
      <c r="B18" s="20">
        <f>'Product Profitability'!B26</f>
        <v>25000</v>
      </c>
      <c r="C18" s="22"/>
    </row>
    <row r="19" spans="1:9" x14ac:dyDescent="0.3">
      <c r="A19" s="25" t="s">
        <v>8</v>
      </c>
      <c r="B19" s="20">
        <f>'Product Profitability'!B27</f>
        <v>36000</v>
      </c>
      <c r="C19" s="24">
        <f>SUM(B13:B19)</f>
        <v>941900</v>
      </c>
      <c r="I19" s="25"/>
    </row>
    <row r="20" spans="1:9" x14ac:dyDescent="0.3">
      <c r="A20" s="24" t="s">
        <v>41</v>
      </c>
      <c r="B20" s="22"/>
      <c r="C20" s="24">
        <f>C19+C11</f>
        <v>8737110.6500000004</v>
      </c>
    </row>
    <row r="21" spans="1:9" x14ac:dyDescent="0.3">
      <c r="A21" s="25" t="s">
        <v>42</v>
      </c>
      <c r="B21" s="22"/>
      <c r="C21" s="24">
        <v>0</v>
      </c>
    </row>
    <row r="22" spans="1:9" x14ac:dyDescent="0.3">
      <c r="A22" s="25" t="s">
        <v>43</v>
      </c>
      <c r="B22" s="22"/>
      <c r="C22" s="24">
        <v>0</v>
      </c>
    </row>
    <row r="23" spans="1:9" x14ac:dyDescent="0.3">
      <c r="A23" s="24" t="s">
        <v>44</v>
      </c>
      <c r="B23" s="22"/>
      <c r="C23" s="24">
        <f>C20</f>
        <v>8737110.6500000004</v>
      </c>
    </row>
    <row r="24" spans="1:9" x14ac:dyDescent="0.3">
      <c r="A24" s="25" t="s">
        <v>45</v>
      </c>
      <c r="B24" s="22"/>
      <c r="C24" s="24">
        <v>0</v>
      </c>
    </row>
    <row r="25" spans="1:9" ht="27.6" x14ac:dyDescent="0.3">
      <c r="A25" s="25" t="s">
        <v>168</v>
      </c>
      <c r="B25" s="22"/>
      <c r="C25" s="19">
        <f>(60*'Product Profitability'!C34)+(10*'Product Profitability'!D34)</f>
        <v>148447.41370510397</v>
      </c>
    </row>
    <row r="26" spans="1:9" x14ac:dyDescent="0.3">
      <c r="A26" s="24" t="s">
        <v>46</v>
      </c>
      <c r="B26" s="22"/>
      <c r="C26" s="19">
        <f>C23-C25</f>
        <v>8588663.2362948973</v>
      </c>
    </row>
    <row r="27" spans="1:9" ht="15.6" x14ac:dyDescent="0.3">
      <c r="A27" s="1"/>
      <c r="B27" s="1"/>
      <c r="C27" s="1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tabSelected="1" zoomScale="120" zoomScaleNormal="120" workbookViewId="0">
      <selection activeCell="I14" sqref="I14"/>
    </sheetView>
  </sheetViews>
  <sheetFormatPr defaultRowHeight="14.4" x14ac:dyDescent="0.3"/>
  <cols>
    <col min="1" max="1" width="37.109375" customWidth="1"/>
    <col min="2" max="2" width="11.33203125" customWidth="1"/>
    <col min="3" max="3" width="15" customWidth="1"/>
    <col min="4" max="4" width="17" customWidth="1"/>
  </cols>
  <sheetData>
    <row r="1" spans="1:4" ht="15.6" x14ac:dyDescent="0.3">
      <c r="A1" s="118" t="s">
        <v>174</v>
      </c>
      <c r="B1" s="118"/>
      <c r="C1" s="118"/>
      <c r="D1" s="118"/>
    </row>
    <row r="2" spans="1:4" ht="15.6" x14ac:dyDescent="0.3">
      <c r="A2" s="29" t="s">
        <v>0</v>
      </c>
      <c r="B2" s="29"/>
      <c r="C2" s="29" t="s">
        <v>35</v>
      </c>
      <c r="D2" s="29" t="s">
        <v>66</v>
      </c>
    </row>
    <row r="3" spans="1:4" ht="15.6" x14ac:dyDescent="0.3">
      <c r="A3" s="35" t="s">
        <v>19</v>
      </c>
      <c r="B3" s="35"/>
      <c r="C3" s="38">
        <f>(2500*3200)+(3000*800)</f>
        <v>10400000</v>
      </c>
      <c r="D3" s="39"/>
    </row>
    <row r="4" spans="1:4" ht="15.6" x14ac:dyDescent="0.3">
      <c r="A4" s="35" t="s">
        <v>67</v>
      </c>
      <c r="B4" s="35"/>
      <c r="C4" s="40">
        <f>'COGS Statement'!C26</f>
        <v>8588663.2362948973</v>
      </c>
      <c r="D4" s="41" t="s">
        <v>34</v>
      </c>
    </row>
    <row r="5" spans="1:4" ht="15.6" x14ac:dyDescent="0.3">
      <c r="A5" s="42" t="s">
        <v>68</v>
      </c>
      <c r="B5" s="42"/>
      <c r="C5" s="43">
        <f>C3-C4</f>
        <v>1811336.7637051027</v>
      </c>
      <c r="D5" s="41"/>
    </row>
    <row r="6" spans="1:4" ht="15.75" customHeight="1" x14ac:dyDescent="0.3">
      <c r="A6" s="35" t="s">
        <v>91</v>
      </c>
      <c r="B6" s="35"/>
      <c r="D6" s="37" t="s">
        <v>30</v>
      </c>
    </row>
    <row r="7" spans="1:4" ht="15.6" x14ac:dyDescent="0.3">
      <c r="A7" s="35" t="s">
        <v>150</v>
      </c>
      <c r="B7" s="20">
        <f>'Cost Classification'!C6</f>
        <v>14400</v>
      </c>
      <c r="C7" s="25"/>
      <c r="D7" s="37"/>
    </row>
    <row r="8" spans="1:4" ht="15.6" x14ac:dyDescent="0.3">
      <c r="A8" s="35" t="s">
        <v>105</v>
      </c>
      <c r="B8" s="89">
        <f>'Cost Classification'!C14</f>
        <v>16500</v>
      </c>
      <c r="C8" s="25"/>
      <c r="D8" s="37"/>
    </row>
    <row r="9" spans="1:4" ht="15.6" x14ac:dyDescent="0.3">
      <c r="A9" s="35" t="s">
        <v>95</v>
      </c>
      <c r="B9" s="89">
        <f>'Cost Classification'!C19</f>
        <v>400000</v>
      </c>
      <c r="C9" s="25">
        <f>SUM(B7:B9)</f>
        <v>430900</v>
      </c>
      <c r="D9" s="37"/>
    </row>
    <row r="10" spans="1:4" ht="15.6" x14ac:dyDescent="0.3">
      <c r="A10" s="42" t="s">
        <v>69</v>
      </c>
      <c r="B10" s="42"/>
      <c r="C10" s="19">
        <f>C5-C9</f>
        <v>1380436.7637051027</v>
      </c>
      <c r="D10" s="37"/>
    </row>
    <row r="11" spans="1:4" ht="31.2" x14ac:dyDescent="0.3">
      <c r="A11" s="35" t="s">
        <v>104</v>
      </c>
      <c r="B11" s="36"/>
      <c r="C11" s="67">
        <f>'Cost Classification'!C18</f>
        <v>22000</v>
      </c>
      <c r="D11" s="37" t="s">
        <v>30</v>
      </c>
    </row>
    <row r="12" spans="1:4" ht="15.6" x14ac:dyDescent="0.3">
      <c r="A12" s="42" t="s">
        <v>70</v>
      </c>
      <c r="B12" s="42"/>
      <c r="C12" s="44">
        <f>C10-C11</f>
        <v>1358436.7637051027</v>
      </c>
      <c r="D12" s="37"/>
    </row>
    <row r="13" spans="1:4" ht="15.6" x14ac:dyDescent="0.3">
      <c r="A13" s="35" t="s">
        <v>71</v>
      </c>
      <c r="B13" s="35"/>
      <c r="C13" s="14">
        <v>0</v>
      </c>
      <c r="D13" s="37" t="s">
        <v>30</v>
      </c>
    </row>
    <row r="14" spans="1:4" ht="15.6" x14ac:dyDescent="0.3">
      <c r="A14" s="35" t="s">
        <v>72</v>
      </c>
      <c r="B14" s="35"/>
      <c r="C14" s="41">
        <v>8000</v>
      </c>
      <c r="D14" s="41"/>
    </row>
    <row r="15" spans="1:4" ht="15.6" x14ac:dyDescent="0.3">
      <c r="A15" s="42" t="s">
        <v>73</v>
      </c>
      <c r="B15" s="42"/>
      <c r="C15" s="48">
        <f>C12-C13+C14</f>
        <v>1366436.7637051027</v>
      </c>
      <c r="D15" s="41"/>
    </row>
    <row r="16" spans="1:4" ht="15.6" x14ac:dyDescent="0.3">
      <c r="A16" s="35" t="s">
        <v>10</v>
      </c>
      <c r="B16" s="35"/>
      <c r="C16" s="17">
        <f>C15*12/100</f>
        <v>163972.41164461232</v>
      </c>
      <c r="D16" s="37" t="s">
        <v>30</v>
      </c>
    </row>
    <row r="17" spans="1:4" ht="15.6" x14ac:dyDescent="0.3">
      <c r="A17" s="35" t="s">
        <v>74</v>
      </c>
      <c r="B17" s="35"/>
      <c r="C17" s="19">
        <f>C15-C16</f>
        <v>1202464.3520604903</v>
      </c>
      <c r="D17" s="39"/>
    </row>
    <row r="19" spans="1:4" x14ac:dyDescent="0.3">
      <c r="A19" s="45"/>
      <c r="B19" s="46"/>
    </row>
    <row r="20" spans="1:4" x14ac:dyDescent="0.3">
      <c r="A20" s="60"/>
      <c r="B20" s="46"/>
    </row>
    <row r="21" spans="1:4" x14ac:dyDescent="0.3">
      <c r="A21" s="46"/>
      <c r="B21" s="46"/>
    </row>
    <row r="22" spans="1:4" x14ac:dyDescent="0.3">
      <c r="A22" s="46"/>
      <c r="B22" s="46"/>
    </row>
    <row r="23" spans="1:4" x14ac:dyDescent="0.3">
      <c r="A23" s="60"/>
      <c r="B23" s="46"/>
    </row>
    <row r="24" spans="1:4" x14ac:dyDescent="0.3">
      <c r="A24" s="60"/>
      <c r="B24" s="62"/>
    </row>
    <row r="25" spans="1:4" x14ac:dyDescent="0.3">
      <c r="A25" s="61"/>
      <c r="B25" s="46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selection activeCell="H13" sqref="H13"/>
    </sheetView>
  </sheetViews>
  <sheetFormatPr defaultRowHeight="14.4" x14ac:dyDescent="0.3"/>
  <cols>
    <col min="1" max="1" width="23.88671875" customWidth="1"/>
    <col min="2" max="2" width="13.44140625" customWidth="1"/>
    <col min="3" max="3" width="14.109375" customWidth="1"/>
    <col min="4" max="4" width="12.88671875" customWidth="1"/>
    <col min="5" max="5" width="22.33203125" customWidth="1"/>
  </cols>
  <sheetData>
    <row r="1" spans="1:8" ht="15.6" x14ac:dyDescent="0.3">
      <c r="A1" s="49" t="s">
        <v>173</v>
      </c>
      <c r="B1" s="49"/>
      <c r="C1" s="49"/>
      <c r="E1" s="2"/>
      <c r="F1" s="2"/>
      <c r="G1" s="1"/>
    </row>
    <row r="2" spans="1:8" ht="15.6" x14ac:dyDescent="0.3">
      <c r="A2" s="58" t="s">
        <v>0</v>
      </c>
      <c r="B2" s="58" t="s">
        <v>77</v>
      </c>
      <c r="C2" s="58" t="s">
        <v>23</v>
      </c>
      <c r="D2" s="58" t="s">
        <v>13</v>
      </c>
      <c r="E2" s="3"/>
      <c r="F2" s="3"/>
      <c r="G2" s="3"/>
    </row>
    <row r="3" spans="1:8" ht="15.6" x14ac:dyDescent="0.3">
      <c r="A3" s="47" t="s">
        <v>75</v>
      </c>
      <c r="B3" s="58"/>
      <c r="C3" s="58"/>
      <c r="D3" s="15"/>
      <c r="E3" s="3"/>
      <c r="F3" s="3"/>
      <c r="G3" s="3"/>
    </row>
    <row r="4" spans="1:8" ht="15.6" x14ac:dyDescent="0.3">
      <c r="A4" s="20" t="s">
        <v>18</v>
      </c>
      <c r="B4" s="20">
        <f>'Product Profitability'!C12</f>
        <v>1778</v>
      </c>
      <c r="C4" s="20">
        <f>'Product Profitability'!D12</f>
        <v>2185</v>
      </c>
      <c r="D4" s="20"/>
      <c r="E4" s="1"/>
      <c r="F4" s="1"/>
      <c r="G4" s="49"/>
      <c r="H4" s="49"/>
    </row>
    <row r="5" spans="1:8" ht="15.6" x14ac:dyDescent="0.3">
      <c r="A5" s="20" t="s">
        <v>14</v>
      </c>
      <c r="B5" s="20">
        <f>'Product Profitability'!C14</f>
        <v>25</v>
      </c>
      <c r="C5" s="20">
        <f>'Product Profitability'!D14</f>
        <v>30</v>
      </c>
      <c r="D5" s="20"/>
      <c r="E5" s="1"/>
      <c r="F5" s="1"/>
      <c r="G5" s="46"/>
      <c r="H5" s="46"/>
    </row>
    <row r="6" spans="1:8" ht="15.6" x14ac:dyDescent="0.3">
      <c r="A6" s="20" t="s">
        <v>7</v>
      </c>
      <c r="B6" s="20">
        <f>'Product Profitability'!C17</f>
        <v>10</v>
      </c>
      <c r="C6" s="20">
        <f>'Product Profitability'!D17</f>
        <v>10</v>
      </c>
      <c r="D6" s="20"/>
      <c r="E6" s="1"/>
      <c r="F6" s="1"/>
      <c r="G6" s="46"/>
      <c r="H6" s="46"/>
    </row>
    <row r="7" spans="1:8" ht="15.6" x14ac:dyDescent="0.3">
      <c r="A7" s="20" t="s">
        <v>78</v>
      </c>
      <c r="B7" s="20">
        <v>100</v>
      </c>
      <c r="C7" s="20">
        <v>100</v>
      </c>
      <c r="D7" s="20"/>
      <c r="E7" s="1"/>
      <c r="F7" s="1"/>
      <c r="G7" s="46"/>
      <c r="H7" s="46"/>
    </row>
    <row r="8" spans="1:8" ht="15.6" x14ac:dyDescent="0.3">
      <c r="A8" s="20" t="s">
        <v>12</v>
      </c>
      <c r="B8" s="20">
        <v>10</v>
      </c>
      <c r="C8" s="20">
        <v>15</v>
      </c>
      <c r="D8" s="20"/>
      <c r="E8" s="1"/>
      <c r="F8" s="1"/>
      <c r="G8" s="46"/>
      <c r="H8" s="46"/>
    </row>
    <row r="9" spans="1:8" ht="15.6" x14ac:dyDescent="0.3">
      <c r="A9" s="20" t="s">
        <v>151</v>
      </c>
      <c r="B9" s="20">
        <f>B4*0.005</f>
        <v>8.89</v>
      </c>
      <c r="C9" s="51">
        <f>C4*0.005</f>
        <v>10.925000000000001</v>
      </c>
      <c r="D9" s="20"/>
      <c r="E9" s="1"/>
      <c r="F9" s="1"/>
      <c r="G9" s="46"/>
      <c r="H9" s="46"/>
    </row>
    <row r="10" spans="1:8" ht="15.6" x14ac:dyDescent="0.3">
      <c r="A10" s="20" t="s">
        <v>117</v>
      </c>
      <c r="B10" s="20">
        <f>SUM(B4:B8)</f>
        <v>1923</v>
      </c>
      <c r="C10" s="20">
        <f>SUM(C4:C8)</f>
        <v>2340</v>
      </c>
      <c r="D10" s="20"/>
      <c r="E10" s="1"/>
      <c r="F10" s="1"/>
      <c r="G10" s="46"/>
      <c r="H10" s="46"/>
    </row>
    <row r="11" spans="1:8" ht="15.6" x14ac:dyDescent="0.3">
      <c r="A11" s="20" t="s">
        <v>84</v>
      </c>
      <c r="B11" s="20">
        <v>2500</v>
      </c>
      <c r="C11" s="20">
        <v>3000</v>
      </c>
      <c r="D11" s="20"/>
      <c r="E11" s="1"/>
      <c r="F11" s="1"/>
      <c r="G11" s="46"/>
      <c r="H11" s="46"/>
    </row>
    <row r="12" spans="1:8" ht="15.6" x14ac:dyDescent="0.3">
      <c r="A12" s="20" t="s">
        <v>86</v>
      </c>
      <c r="B12" s="20">
        <f>B11-B10</f>
        <v>577</v>
      </c>
      <c r="C12" s="20">
        <f>C11-C10</f>
        <v>660</v>
      </c>
      <c r="D12" s="20"/>
      <c r="E12" s="1"/>
      <c r="F12" s="1"/>
      <c r="G12" s="46"/>
      <c r="H12" s="46"/>
    </row>
    <row r="13" spans="1:8" ht="15.6" x14ac:dyDescent="0.3">
      <c r="A13" s="20" t="s">
        <v>118</v>
      </c>
      <c r="B13" s="20">
        <v>3200</v>
      </c>
      <c r="C13" s="20">
        <v>800</v>
      </c>
      <c r="D13" s="20"/>
      <c r="E13" s="1"/>
      <c r="F13" s="1"/>
      <c r="G13" s="46"/>
      <c r="H13" s="46"/>
    </row>
    <row r="14" spans="1:8" ht="15.6" x14ac:dyDescent="0.3">
      <c r="A14" s="20" t="s">
        <v>85</v>
      </c>
      <c r="B14" s="20">
        <f>B12*B13</f>
        <v>1846400</v>
      </c>
      <c r="C14" s="20">
        <f>C12*C13</f>
        <v>528000</v>
      </c>
      <c r="D14" s="20">
        <f>B14+C14</f>
        <v>2374400</v>
      </c>
      <c r="E14" s="1"/>
      <c r="F14" s="2"/>
      <c r="G14" s="119"/>
      <c r="H14" s="119"/>
    </row>
    <row r="15" spans="1:8" ht="15.6" x14ac:dyDescent="0.3">
      <c r="A15" s="20" t="s">
        <v>87</v>
      </c>
      <c r="B15" s="20"/>
      <c r="C15" s="20"/>
      <c r="D15" s="20">
        <f>B30</f>
        <v>994800</v>
      </c>
      <c r="E15" s="2"/>
      <c r="F15" s="2"/>
      <c r="G15" s="46"/>
      <c r="H15" s="46"/>
    </row>
    <row r="16" spans="1:8" x14ac:dyDescent="0.3">
      <c r="A16" s="20" t="s">
        <v>70</v>
      </c>
      <c r="B16" s="20"/>
      <c r="C16" s="20"/>
      <c r="D16" s="20">
        <f>D14-D15</f>
        <v>1379600</v>
      </c>
      <c r="G16" s="46"/>
      <c r="H16" s="46"/>
    </row>
    <row r="19" spans="1:2" ht="15" thickBot="1" x14ac:dyDescent="0.35">
      <c r="A19" s="59" t="s">
        <v>116</v>
      </c>
    </row>
    <row r="20" spans="1:2" x14ac:dyDescent="0.3">
      <c r="A20" s="120" t="s">
        <v>79</v>
      </c>
      <c r="B20" s="121"/>
    </row>
    <row r="21" spans="1:2" x14ac:dyDescent="0.3">
      <c r="A21" s="93" t="s">
        <v>133</v>
      </c>
      <c r="B21" s="94">
        <f>'Cost Classification'!C4</f>
        <v>600000</v>
      </c>
    </row>
    <row r="22" spans="1:2" x14ac:dyDescent="0.3">
      <c r="A22" s="93" t="s">
        <v>40</v>
      </c>
      <c r="B22" s="94">
        <f>'Cost Classification'!C5</f>
        <v>100800</v>
      </c>
    </row>
    <row r="23" spans="1:2" x14ac:dyDescent="0.3">
      <c r="A23" s="93" t="s">
        <v>61</v>
      </c>
      <c r="B23" s="94">
        <f>'Cost Classification'!C6</f>
        <v>14400</v>
      </c>
    </row>
    <row r="24" spans="1:2" x14ac:dyDescent="0.3">
      <c r="A24" s="95" t="s">
        <v>8</v>
      </c>
      <c r="B24" s="94">
        <v>36000</v>
      </c>
    </row>
    <row r="25" spans="1:2" x14ac:dyDescent="0.3">
      <c r="A25" s="95" t="s">
        <v>12</v>
      </c>
      <c r="B25" s="94">
        <f>'Cost Classification'!B27+'Cost Classification'!B28+'Cost Classification'!B30+'Cost Classification'!B39</f>
        <v>87600</v>
      </c>
    </row>
    <row r="26" spans="1:2" x14ac:dyDescent="0.3">
      <c r="A26" s="95" t="s">
        <v>49</v>
      </c>
      <c r="B26" s="94">
        <v>25000</v>
      </c>
    </row>
    <row r="27" spans="1:2" x14ac:dyDescent="0.3">
      <c r="A27" s="95" t="s">
        <v>33</v>
      </c>
      <c r="B27" s="96">
        <f>'Cost Classification'!C16</f>
        <v>45000</v>
      </c>
    </row>
    <row r="28" spans="1:2" x14ac:dyDescent="0.3">
      <c r="A28" s="95" t="s">
        <v>119</v>
      </c>
      <c r="B28" s="94">
        <f>'Product Profitability'!B24</f>
        <v>64000</v>
      </c>
    </row>
    <row r="29" spans="1:2" x14ac:dyDescent="0.3">
      <c r="A29" s="95" t="s">
        <v>80</v>
      </c>
      <c r="B29" s="94">
        <f>'Projected Income Statement'!C11</f>
        <v>22000</v>
      </c>
    </row>
    <row r="30" spans="1:2" ht="15" thickBot="1" x14ac:dyDescent="0.35">
      <c r="A30" s="97" t="s">
        <v>11</v>
      </c>
      <c r="B30" s="98">
        <f>SUM(B21:B29)</f>
        <v>994800</v>
      </c>
    </row>
  </sheetData>
  <mergeCells count="2">
    <mergeCell ref="G14:H14"/>
    <mergeCell ref="A20:B2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"/>
  <sheetViews>
    <sheetView workbookViewId="0">
      <selection activeCell="I11" sqref="I11"/>
    </sheetView>
  </sheetViews>
  <sheetFormatPr defaultRowHeight="14.4" x14ac:dyDescent="0.3"/>
  <cols>
    <col min="1" max="1" width="29.33203125" customWidth="1"/>
    <col min="2" max="2" width="13.5546875" customWidth="1"/>
    <col min="3" max="3" width="12" customWidth="1"/>
    <col min="4" max="4" width="13.5546875" customWidth="1"/>
  </cols>
  <sheetData>
    <row r="1" spans="1:13" x14ac:dyDescent="0.3">
      <c r="A1" s="131" t="s">
        <v>172</v>
      </c>
      <c r="B1" s="131"/>
      <c r="C1" s="131"/>
      <c r="D1" s="131"/>
    </row>
    <row r="2" spans="1:13" ht="31.2" x14ac:dyDescent="0.3">
      <c r="A2" s="91" t="s">
        <v>21</v>
      </c>
      <c r="B2" s="50" t="s">
        <v>24</v>
      </c>
      <c r="C2" s="50" t="s">
        <v>20</v>
      </c>
      <c r="D2" s="13" t="s">
        <v>76</v>
      </c>
    </row>
    <row r="3" spans="1:13" x14ac:dyDescent="0.3">
      <c r="A3" s="53" t="s">
        <v>22</v>
      </c>
      <c r="B3" s="53">
        <v>4</v>
      </c>
      <c r="C3" s="53">
        <f>'Variable Cost System'!B12</f>
        <v>577</v>
      </c>
      <c r="D3" s="53">
        <f>C3*B3</f>
        <v>2308</v>
      </c>
    </row>
    <row r="4" spans="1:13" x14ac:dyDescent="0.3">
      <c r="A4" s="53" t="s">
        <v>23</v>
      </c>
      <c r="B4" s="53">
        <v>1</v>
      </c>
      <c r="C4" s="53">
        <f>'Variable Cost System'!C12</f>
        <v>660</v>
      </c>
      <c r="D4" s="53">
        <f>C4*B4</f>
        <v>660</v>
      </c>
    </row>
    <row r="5" spans="1:13" x14ac:dyDescent="0.3">
      <c r="A5" s="128" t="s">
        <v>13</v>
      </c>
      <c r="B5" s="129"/>
      <c r="C5" s="130"/>
      <c r="D5" s="53">
        <f>SUM(D3:D4)</f>
        <v>2968</v>
      </c>
    </row>
    <row r="6" spans="1:13" x14ac:dyDescent="0.3">
      <c r="A6" s="128" t="s">
        <v>50</v>
      </c>
      <c r="B6" s="129"/>
      <c r="C6" s="130"/>
      <c r="D6" s="53">
        <f>'Variable Cost System'!D15</f>
        <v>994800</v>
      </c>
    </row>
    <row r="7" spans="1:13" ht="17.399999999999999" x14ac:dyDescent="0.3">
      <c r="A7" s="56" t="s">
        <v>25</v>
      </c>
      <c r="B7" s="132" t="s">
        <v>92</v>
      </c>
      <c r="C7" s="133"/>
      <c r="D7" s="54">
        <f>D6/D5</f>
        <v>335.17520215633425</v>
      </c>
      <c r="J7" s="2"/>
      <c r="K7" s="1"/>
      <c r="L7" s="6"/>
      <c r="M7" s="4"/>
    </row>
    <row r="8" spans="1:13" ht="15.6" x14ac:dyDescent="0.3">
      <c r="A8" s="125" t="s">
        <v>26</v>
      </c>
      <c r="B8" s="126"/>
      <c r="C8" s="126"/>
      <c r="D8" s="127"/>
      <c r="J8" s="1"/>
      <c r="K8" s="1"/>
      <c r="L8" s="1"/>
      <c r="M8" s="1"/>
    </row>
    <row r="9" spans="1:13" ht="16.2" thickBot="1" x14ac:dyDescent="0.35">
      <c r="A9" s="53" t="s">
        <v>22</v>
      </c>
      <c r="B9" s="123" t="s">
        <v>160</v>
      </c>
      <c r="C9" s="124"/>
      <c r="D9" s="54">
        <f>D7*B3</f>
        <v>1340.700808625337</v>
      </c>
      <c r="J9" s="1"/>
      <c r="K9" s="1"/>
      <c r="L9" s="1"/>
      <c r="M9" s="1"/>
    </row>
    <row r="10" spans="1:13" ht="16.2" thickBot="1" x14ac:dyDescent="0.35">
      <c r="A10" s="53" t="s">
        <v>23</v>
      </c>
      <c r="B10" s="123" t="s">
        <v>161</v>
      </c>
      <c r="C10" s="124"/>
      <c r="D10" s="54">
        <f>D7*B4</f>
        <v>335.17520215633425</v>
      </c>
      <c r="F10" s="12"/>
      <c r="J10" s="6"/>
      <c r="K10" s="1"/>
      <c r="L10" s="1"/>
      <c r="M10" s="1"/>
    </row>
    <row r="11" spans="1:13" ht="15.6" x14ac:dyDescent="0.3">
      <c r="A11" s="125" t="s">
        <v>27</v>
      </c>
      <c r="B11" s="126"/>
      <c r="C11" s="126"/>
      <c r="D11" s="127"/>
      <c r="J11" s="1"/>
      <c r="K11" s="1"/>
      <c r="L11" s="1"/>
      <c r="M11" s="1"/>
    </row>
    <row r="12" spans="1:13" ht="15.6" x14ac:dyDescent="0.3">
      <c r="A12" s="53" t="s">
        <v>22</v>
      </c>
      <c r="B12" s="123" t="s">
        <v>162</v>
      </c>
      <c r="C12" s="124"/>
      <c r="D12" s="54">
        <f>D9*2500</f>
        <v>3351752.0215633423</v>
      </c>
      <c r="J12" s="1"/>
      <c r="K12" s="1"/>
      <c r="L12" s="1"/>
      <c r="M12" s="1"/>
    </row>
    <row r="13" spans="1:13" ht="15.6" x14ac:dyDescent="0.3">
      <c r="A13" s="53" t="s">
        <v>120</v>
      </c>
      <c r="B13" s="123" t="s">
        <v>163</v>
      </c>
      <c r="C13" s="124"/>
      <c r="D13" s="54">
        <f>D10*3000</f>
        <v>1005525.6064690028</v>
      </c>
      <c r="J13" s="6"/>
      <c r="K13" s="1"/>
      <c r="L13" s="1"/>
      <c r="M13" s="1"/>
    </row>
    <row r="14" spans="1:13" ht="15.6" x14ac:dyDescent="0.3">
      <c r="A14" s="55" t="s">
        <v>13</v>
      </c>
      <c r="B14" s="123" t="s">
        <v>164</v>
      </c>
      <c r="C14" s="124"/>
      <c r="D14" s="54">
        <f>SUM(D12:D13)</f>
        <v>4357277.6280323453</v>
      </c>
      <c r="J14" s="6"/>
      <c r="K14" s="1"/>
      <c r="L14" s="1"/>
      <c r="M14" s="1"/>
    </row>
    <row r="15" spans="1:13" ht="15.6" x14ac:dyDescent="0.3">
      <c r="J15" s="3"/>
      <c r="K15" s="1"/>
      <c r="L15" s="1"/>
      <c r="M15" s="1"/>
    </row>
    <row r="16" spans="1:13" ht="15.6" x14ac:dyDescent="0.3">
      <c r="A16" s="122" t="s">
        <v>171</v>
      </c>
      <c r="B16" s="122"/>
      <c r="C16" s="122"/>
      <c r="D16" s="122"/>
      <c r="J16" s="1"/>
      <c r="K16" s="1"/>
      <c r="L16" s="1"/>
      <c r="M16" s="1"/>
    </row>
    <row r="17" spans="1:13" ht="15.6" x14ac:dyDescent="0.3">
      <c r="A17" s="20" t="s">
        <v>166</v>
      </c>
      <c r="B17" s="99">
        <v>859846</v>
      </c>
      <c r="J17" s="1"/>
      <c r="K17" s="1"/>
      <c r="L17" s="1"/>
      <c r="M17" s="1"/>
    </row>
    <row r="18" spans="1:13" ht="15.6" x14ac:dyDescent="0.3">
      <c r="A18" s="20" t="s">
        <v>165</v>
      </c>
      <c r="B18" s="99">
        <v>977780</v>
      </c>
      <c r="J18" s="1"/>
      <c r="K18" s="1"/>
      <c r="L18" s="1"/>
      <c r="M18" s="1"/>
    </row>
    <row r="19" spans="1:13" ht="15.6" x14ac:dyDescent="0.3">
      <c r="A19" s="18" t="s">
        <v>121</v>
      </c>
      <c r="B19" s="100">
        <f>D6+B18</f>
        <v>1972580</v>
      </c>
      <c r="J19" s="1"/>
      <c r="K19" s="1"/>
      <c r="L19" s="1"/>
      <c r="M19" s="1"/>
    </row>
    <row r="20" spans="1:13" ht="15.6" x14ac:dyDescent="0.3">
      <c r="A20" s="52" t="s">
        <v>122</v>
      </c>
      <c r="B20" s="100">
        <f>B19/D5</f>
        <v>664.61590296495956</v>
      </c>
      <c r="J20" s="3"/>
      <c r="K20" s="1"/>
      <c r="L20" s="1"/>
      <c r="M20" s="1"/>
    </row>
    <row r="21" spans="1:13" x14ac:dyDescent="0.3">
      <c r="A21" s="52" t="s">
        <v>93</v>
      </c>
      <c r="B21" s="99">
        <f>B20*4</f>
        <v>2658.4636118598382</v>
      </c>
    </row>
    <row r="22" spans="1:13" x14ac:dyDescent="0.3">
      <c r="A22" s="52" t="s">
        <v>94</v>
      </c>
      <c r="B22" s="99">
        <f>B20*1</f>
        <v>664.61590296495956</v>
      </c>
    </row>
    <row r="23" spans="1:13" x14ac:dyDescent="0.3">
      <c r="A23" s="52" t="s">
        <v>81</v>
      </c>
      <c r="B23" s="99">
        <f>B21+B22</f>
        <v>3323.079514824798</v>
      </c>
    </row>
    <row r="24" spans="1:13" x14ac:dyDescent="0.3">
      <c r="A24" s="52" t="s">
        <v>152</v>
      </c>
      <c r="B24" s="99">
        <f>B21*2500</f>
        <v>6646159.0296495957</v>
      </c>
    </row>
    <row r="25" spans="1:13" x14ac:dyDescent="0.3">
      <c r="A25" s="52" t="s">
        <v>153</v>
      </c>
      <c r="B25" s="99">
        <f>B22*3000</f>
        <v>1993847.7088948786</v>
      </c>
    </row>
    <row r="26" spans="1:13" x14ac:dyDescent="0.3">
      <c r="A26" s="52" t="s">
        <v>154</v>
      </c>
      <c r="B26" s="99">
        <f>B24+B25</f>
        <v>8640006.7385444753</v>
      </c>
    </row>
  </sheetData>
  <mergeCells count="12">
    <mergeCell ref="A5:C5"/>
    <mergeCell ref="A6:C6"/>
    <mergeCell ref="A1:D1"/>
    <mergeCell ref="B7:C7"/>
    <mergeCell ref="B9:C9"/>
    <mergeCell ref="A16:D16"/>
    <mergeCell ref="B13:C13"/>
    <mergeCell ref="B14:C14"/>
    <mergeCell ref="A11:D11"/>
    <mergeCell ref="A8:D8"/>
    <mergeCell ref="B10:C10"/>
    <mergeCell ref="B12:C12"/>
  </mergeCells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 Classification</vt:lpstr>
      <vt:lpstr>Product Profitability</vt:lpstr>
      <vt:lpstr>COGS Statement</vt:lpstr>
      <vt:lpstr>Projected Income Statement</vt:lpstr>
      <vt:lpstr>Variable Cost System</vt:lpstr>
      <vt:lpstr>BEP &amp; Target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Ashutosh Dash</cp:lastModifiedBy>
  <dcterms:created xsi:type="dcterms:W3CDTF">2017-09-24T23:07:18Z</dcterms:created>
  <dcterms:modified xsi:type="dcterms:W3CDTF">2025-12-09T07:22:07Z</dcterms:modified>
</cp:coreProperties>
</file>