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man Singh\Desktop\Management Accounting\"/>
    </mc:Choice>
  </mc:AlternateContent>
  <xr:revisionPtr revIDLastSave="0" documentId="8_{505A6B13-40CD-A846-9E2F-1C12CFBF5F1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lassic Pen Compan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1" l="1"/>
  <c r="F42" i="1"/>
  <c r="F36" i="1"/>
  <c r="D42" i="1"/>
  <c r="B42" i="1"/>
  <c r="T37" i="1"/>
  <c r="J34" i="1"/>
  <c r="T36" i="1"/>
  <c r="F34" i="1"/>
  <c r="T35" i="1"/>
  <c r="D34" i="1"/>
  <c r="T34" i="1"/>
  <c r="B34" i="1"/>
  <c r="J31" i="1"/>
  <c r="F31" i="1"/>
  <c r="D31" i="1"/>
  <c r="B31" i="1"/>
  <c r="J29" i="1"/>
  <c r="F29" i="1"/>
  <c r="D29" i="1"/>
  <c r="B29" i="1"/>
  <c r="A28" i="1"/>
  <c r="A34" i="1"/>
  <c r="A32" i="1"/>
  <c r="A30" i="1"/>
  <c r="P12" i="1"/>
  <c r="O12" i="1"/>
  <c r="N12" i="1"/>
  <c r="L12" i="1"/>
  <c r="J12" i="1"/>
  <c r="F12" i="1"/>
  <c r="D24" i="1"/>
  <c r="D12" i="1"/>
  <c r="B12" i="1"/>
  <c r="B13" i="1"/>
  <c r="B24" i="1"/>
  <c r="N13" i="1"/>
  <c r="J24" i="1"/>
  <c r="B35" i="1"/>
  <c r="J35" i="1"/>
  <c r="J13" i="1"/>
  <c r="F24" i="1"/>
  <c r="F35" i="1"/>
  <c r="D35" i="1"/>
  <c r="B33" i="1"/>
  <c r="B36" i="1"/>
  <c r="J33" i="1"/>
  <c r="J36" i="1"/>
  <c r="F33" i="1"/>
  <c r="D33" i="1"/>
  <c r="D36" i="1"/>
</calcChain>
</file>

<file path=xl/sharedStrings.xml><?xml version="1.0" encoding="utf-8"?>
<sst xmlns="http://schemas.openxmlformats.org/spreadsheetml/2006/main" count="51" uniqueCount="40">
  <si>
    <t>Total Labour</t>
  </si>
  <si>
    <t>Indirect Labour</t>
  </si>
  <si>
    <t>Fringe Benefits</t>
  </si>
  <si>
    <t>Cost Pools</t>
  </si>
  <si>
    <t>+</t>
  </si>
  <si>
    <t>Computer System</t>
  </si>
  <si>
    <t>Machinery</t>
  </si>
  <si>
    <t>Maintenance</t>
  </si>
  <si>
    <t>Energy</t>
  </si>
  <si>
    <t>Production Run</t>
  </si>
  <si>
    <t>Changeover / Setup</t>
  </si>
  <si>
    <t>Product Sustaining</t>
  </si>
  <si>
    <t>Activity Cost</t>
  </si>
  <si>
    <t>Cost Driver</t>
  </si>
  <si>
    <t>No. of runs</t>
  </si>
  <si>
    <t>Setup hrs.</t>
  </si>
  <si>
    <t>No. of products</t>
  </si>
  <si>
    <t>Machine Hrs.</t>
  </si>
  <si>
    <t>Cost Driver Volume</t>
  </si>
  <si>
    <t>Cost Driver Rate</t>
  </si>
  <si>
    <t>Classic Pen Company</t>
  </si>
  <si>
    <t>Blue</t>
  </si>
  <si>
    <t>Black</t>
  </si>
  <si>
    <t>Red</t>
  </si>
  <si>
    <t>Purple</t>
  </si>
  <si>
    <t>Machine Hrs. = Production sales voume x machine hrs/unit</t>
  </si>
  <si>
    <t>=</t>
  </si>
  <si>
    <t>Sales</t>
  </si>
  <si>
    <t>Material Cost</t>
  </si>
  <si>
    <t>Direct Labour</t>
  </si>
  <si>
    <t>Mfg. Overhead</t>
  </si>
  <si>
    <t>Total Profit</t>
  </si>
  <si>
    <t>ABC supports strategic decisions</t>
  </si>
  <si>
    <t>→ Repricing</t>
  </si>
  <si>
    <t>→ Process improvement</t>
  </si>
  <si>
    <t>→ Product rationalization</t>
  </si>
  <si>
    <t>Conclusion:</t>
  </si>
  <si>
    <t>Traditional costing was misleading, Red &amp; Purple looked profitable earlier, but ABC shows they destroy value.</t>
  </si>
  <si>
    <t>Complexity drives cost, not volume, More setups &amp; changeovers = higher overhead.</t>
  </si>
  <si>
    <t>Premium pricing is not enough, Specialty products must cover complexity costs.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</si>
</sst>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textRotation="45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4" fontId="0" fillId="0" borderId="19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" borderId="39" xfId="0" applyFill="1" applyBorder="1" applyAlignment="1">
      <alignment horizontal="left" vertical="center"/>
    </xf>
    <xf numFmtId="0" fontId="0" fillId="3" borderId="40" xfId="0" applyFill="1" applyBorder="1" applyAlignment="1">
      <alignment horizontal="left" vertical="center"/>
    </xf>
    <xf numFmtId="0" fontId="0" fillId="3" borderId="41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3" borderId="27" xfId="0" applyFill="1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0" fillId="3" borderId="32" xfId="0" applyFill="1" applyBorder="1" applyAlignment="1">
      <alignment horizontal="left" vertical="center"/>
    </xf>
    <xf numFmtId="0" fontId="0" fillId="3" borderId="30" xfId="0" applyFill="1" applyBorder="1" applyAlignment="1">
      <alignment horizontal="left" vertical="center"/>
    </xf>
    <xf numFmtId="0" fontId="0" fillId="3" borderId="31" xfId="0" applyFill="1" applyBorder="1" applyAlignment="1">
      <alignment horizontal="left" vertical="center"/>
    </xf>
    <xf numFmtId="0" fontId="0" fillId="3" borderId="36" xfId="0" applyFill="1" applyBorder="1" applyAlignment="1">
      <alignment horizontal="left" vertical="center"/>
    </xf>
    <xf numFmtId="0" fontId="0" fillId="3" borderId="37" xfId="0" applyFill="1" applyBorder="1" applyAlignment="1">
      <alignment horizontal="left" vertical="center"/>
    </xf>
    <xf numFmtId="0" fontId="0" fillId="3" borderId="38" xfId="0" applyFill="1" applyBorder="1" applyAlignment="1">
      <alignment horizontal="left" vertical="center"/>
    </xf>
    <xf numFmtId="0" fontId="0" fillId="3" borderId="33" xfId="0" applyFill="1" applyBorder="1" applyAlignment="1">
      <alignment horizontal="left" vertical="center"/>
    </xf>
    <xf numFmtId="0" fontId="0" fillId="3" borderId="34" xfId="0" applyFill="1" applyBorder="1" applyAlignment="1">
      <alignment horizontal="left" vertical="center"/>
    </xf>
    <xf numFmtId="0" fontId="0" fillId="3" borderId="35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652463</xdr:colOff>
      <xdr:row>6</xdr:row>
      <xdr:rowOff>4763</xdr:rowOff>
    </xdr:from>
    <xdr:to>
      <xdr:col>2</xdr:col>
      <xdr:colOff>90487</xdr:colOff>
      <xdr:row>10</xdr:row>
      <xdr:rowOff>4763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89B293C-7023-5F71-BD46-EB73CAC3CCD8}"/>
            </a:ext>
          </a:extLst>
        </xdr:cNvPr>
        <xdr:cNvCxnSpPr/>
      </xdr:nvCxnSpPr>
      <xdr:spPr>
        <a:xfrm flipH="1">
          <a:off x="1300163" y="909638"/>
          <a:ext cx="338137" cy="7239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259773</xdr:colOff>
      <xdr:row>6</xdr:row>
      <xdr:rowOff>3572</xdr:rowOff>
    </xdr:from>
    <xdr:to>
      <xdr:col>5</xdr:col>
      <xdr:colOff>286941</xdr:colOff>
      <xdr:row>9</xdr:row>
      <xdr:rowOff>160193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EC3E826-5A6D-0EA5-52CA-95A7EB3FF586}"/>
            </a:ext>
          </a:extLst>
        </xdr:cNvPr>
        <xdr:cNvCxnSpPr/>
      </xdr:nvCxnSpPr>
      <xdr:spPr>
        <a:xfrm flipH="1">
          <a:off x="1988561" y="908447"/>
          <a:ext cx="1098730" cy="69954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620565</xdr:colOff>
      <xdr:row>6</xdr:row>
      <xdr:rowOff>85092</xdr:rowOff>
    </xdr:from>
    <xdr:ext cx="264560" cy="51405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88BC7B4-11C3-32EF-E727-2BF0A42A944E}"/>
            </a:ext>
          </a:extLst>
        </xdr:cNvPr>
        <xdr:cNvSpPr txBox="1"/>
      </xdr:nvSpPr>
      <xdr:spPr>
        <a:xfrm rot="17904330">
          <a:off x="1251470" y="1429038"/>
          <a:ext cx="51405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(50%)</a:t>
          </a:r>
        </a:p>
      </xdr:txBody>
    </xdr:sp>
    <xdr:clientData/>
  </xdr:oneCellAnchor>
  <xdr:oneCellAnchor>
    <xdr:from>
      <xdr:col>3</xdr:col>
      <xdr:colOff>221626</xdr:colOff>
      <xdr:row>7</xdr:row>
      <xdr:rowOff>133938</xdr:rowOff>
    </xdr:from>
    <xdr:ext cx="51405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8718171-A9D8-4071-B95A-90721ACB05FB}"/>
            </a:ext>
          </a:extLst>
        </xdr:cNvPr>
        <xdr:cNvSpPr txBox="1"/>
      </xdr:nvSpPr>
      <xdr:spPr>
        <a:xfrm rot="19679977">
          <a:off x="2063126" y="1229313"/>
          <a:ext cx="51405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(80%)</a:t>
          </a:r>
        </a:p>
      </xdr:txBody>
    </xdr:sp>
    <xdr:clientData/>
  </xdr:oneCellAnchor>
  <xdr:twoCellAnchor>
    <xdr:from>
      <xdr:col>2</xdr:col>
      <xdr:colOff>96196</xdr:colOff>
      <xdr:row>6</xdr:row>
      <xdr:rowOff>9461</xdr:rowOff>
    </xdr:from>
    <xdr:to>
      <xdr:col>6</xdr:col>
      <xdr:colOff>116898</xdr:colOff>
      <xdr:row>10</xdr:row>
      <xdr:rowOff>378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107FBA6-FACD-4653-A699-4A1B6564CEC4}"/>
            </a:ext>
          </a:extLst>
        </xdr:cNvPr>
        <xdr:cNvCxnSpPr/>
      </xdr:nvCxnSpPr>
      <xdr:spPr>
        <a:xfrm>
          <a:off x="1644009" y="914336"/>
          <a:ext cx="1920939" cy="71481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104724</xdr:colOff>
      <xdr:row>7</xdr:row>
      <xdr:rowOff>107953</xdr:rowOff>
    </xdr:from>
    <xdr:ext cx="51405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82D2E6C-B801-4F4A-8669-A002CA4D6CD4}"/>
            </a:ext>
          </a:extLst>
        </xdr:cNvPr>
        <xdr:cNvSpPr txBox="1"/>
      </xdr:nvSpPr>
      <xdr:spPr>
        <a:xfrm rot="1235745">
          <a:off x="2835224" y="1203328"/>
          <a:ext cx="51405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(40%)</a:t>
          </a:r>
        </a:p>
      </xdr:txBody>
    </xdr:sp>
    <xdr:clientData/>
  </xdr:oneCellAnchor>
  <xdr:twoCellAnchor>
    <xdr:from>
      <xdr:col>2</xdr:col>
      <xdr:colOff>71437</xdr:colOff>
      <xdr:row>6</xdr:row>
      <xdr:rowOff>14288</xdr:rowOff>
    </xdr:from>
    <xdr:to>
      <xdr:col>9</xdr:col>
      <xdr:colOff>561975</xdr:colOff>
      <xdr:row>10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A79B78E3-D628-45A4-B7EC-1DB04EB10A22}"/>
            </a:ext>
          </a:extLst>
        </xdr:cNvPr>
        <xdr:cNvCxnSpPr/>
      </xdr:nvCxnSpPr>
      <xdr:spPr>
        <a:xfrm>
          <a:off x="1619250" y="919163"/>
          <a:ext cx="3400425" cy="70961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547787</xdr:colOff>
      <xdr:row>7</xdr:row>
      <xdr:rowOff>36525</xdr:rowOff>
    </xdr:from>
    <xdr:ext cx="51405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5C082B6-299A-45FC-A12B-B663EA67B7BD}"/>
            </a:ext>
          </a:extLst>
        </xdr:cNvPr>
        <xdr:cNvSpPr txBox="1"/>
      </xdr:nvSpPr>
      <xdr:spPr>
        <a:xfrm rot="730821">
          <a:off x="3506887" y="1439876"/>
          <a:ext cx="51405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(10%)</a:t>
          </a:r>
        </a:p>
      </xdr:txBody>
    </xdr:sp>
    <xdr:clientData/>
  </xdr:oneCellAnchor>
  <xdr:twoCellAnchor>
    <xdr:from>
      <xdr:col>5</xdr:col>
      <xdr:colOff>290513</xdr:colOff>
      <xdr:row>6</xdr:row>
      <xdr:rowOff>9525</xdr:rowOff>
    </xdr:from>
    <xdr:to>
      <xdr:col>11</xdr:col>
      <xdr:colOff>271463</xdr:colOff>
      <xdr:row>10</xdr:row>
      <xdr:rowOff>9525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E2EE4863-B7A5-42E4-8186-17E85D254EB3}"/>
            </a:ext>
          </a:extLst>
        </xdr:cNvPr>
        <xdr:cNvCxnSpPr/>
      </xdr:nvCxnSpPr>
      <xdr:spPr>
        <a:xfrm>
          <a:off x="3090863" y="914400"/>
          <a:ext cx="2609850" cy="72390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149320</xdr:colOff>
      <xdr:row>7</xdr:row>
      <xdr:rowOff>57151</xdr:rowOff>
    </xdr:from>
    <xdr:ext cx="51405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E4AFDEF-A34E-4373-BA8D-611785CD8076}"/>
            </a:ext>
          </a:extLst>
        </xdr:cNvPr>
        <xdr:cNvSpPr txBox="1"/>
      </xdr:nvSpPr>
      <xdr:spPr>
        <a:xfrm rot="1033011">
          <a:off x="4538758" y="1152526"/>
          <a:ext cx="51405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(20%)</a:t>
          </a:r>
        </a:p>
      </xdr:txBody>
    </xdr:sp>
    <xdr:clientData/>
  </xdr:oneCellAnchor>
  <xdr:twoCellAnchor>
    <xdr:from>
      <xdr:col>7</xdr:col>
      <xdr:colOff>298004</xdr:colOff>
      <xdr:row>6</xdr:row>
      <xdr:rowOff>2790</xdr:rowOff>
    </xdr:from>
    <xdr:to>
      <xdr:col>11</xdr:col>
      <xdr:colOff>364847</xdr:colOff>
      <xdr:row>6</xdr:row>
      <xdr:rowOff>161538</xdr:rowOff>
    </xdr:to>
    <xdr:sp macro="" textlink="">
      <xdr:nvSpPr>
        <xdr:cNvPr id="51" name="Right Brace 50">
          <a:extLst>
            <a:ext uri="{FF2B5EF4-FFF2-40B4-BE49-F238E27FC236}">
              <a16:creationId xmlns:a16="http://schemas.microsoft.com/office/drawing/2014/main" id="{3AC82AA4-DDAE-C7AD-2AD1-6C46B79D7433}"/>
            </a:ext>
          </a:extLst>
        </xdr:cNvPr>
        <xdr:cNvSpPr/>
      </xdr:nvSpPr>
      <xdr:spPr>
        <a:xfrm rot="5400000">
          <a:off x="4784782" y="52920"/>
          <a:ext cx="158748" cy="1868795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402457</xdr:colOff>
      <xdr:row>6</xdr:row>
      <xdr:rowOff>161538</xdr:rowOff>
    </xdr:from>
    <xdr:to>
      <xdr:col>14</xdr:col>
      <xdr:colOff>319304</xdr:colOff>
      <xdr:row>9</xdr:row>
      <xdr:rowOff>178593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FC652499-C3B8-ABEA-0D03-2EED16B3D08E}"/>
            </a:ext>
          </a:extLst>
        </xdr:cNvPr>
        <xdr:cNvCxnSpPr>
          <a:stCxn id="51" idx="1"/>
        </xdr:cNvCxnSpPr>
      </xdr:nvCxnSpPr>
      <xdr:spPr>
        <a:xfrm rot="16200000" flipH="1">
          <a:off x="5764285" y="165641"/>
          <a:ext cx="560954" cy="2365746"/>
        </a:xfrm>
        <a:prstGeom prst="bentConnector4">
          <a:avLst>
            <a:gd name="adj1" fmla="val 19374"/>
            <a:gd name="adj2" fmla="val 10011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tabSelected="1" zoomScale="75" zoomScaleNormal="120" workbookViewId="0">
      <selection activeCell="O53" sqref="O53"/>
    </sheetView>
  </sheetViews>
  <sheetFormatPr defaultColWidth="9.01171875" defaultRowHeight="15" x14ac:dyDescent="0.2"/>
  <cols>
    <col min="1" max="1" width="16.8125" style="1" bestFit="1" customWidth="1"/>
    <col min="2" max="2" width="13.31640625" style="1" bestFit="1" customWidth="1"/>
    <col min="3" max="3" width="2.5546875" style="1" customWidth="1"/>
    <col min="4" max="4" width="12.5078125" style="1" bestFit="1" customWidth="1"/>
    <col min="5" max="5" width="2.5546875" style="1" customWidth="1"/>
    <col min="6" max="6" width="9.01171875" style="1"/>
    <col min="7" max="7" width="2.5546875" style="1" customWidth="1"/>
    <col min="8" max="8" width="9.4140625" style="1" bestFit="1" customWidth="1"/>
    <col min="9" max="9" width="2.5546875" style="1" customWidth="1"/>
    <col min="10" max="10" width="11.43359375" style="1" bestFit="1" customWidth="1"/>
    <col min="11" max="11" width="2.5546875" style="1" customWidth="1"/>
    <col min="12" max="12" width="9.01171875" style="1"/>
    <col min="13" max="13" width="2.5546875" style="1" customWidth="1"/>
    <col min="14" max="14" width="9.01171875" style="1"/>
    <col min="15" max="15" width="11.56640625" style="1" bestFit="1" customWidth="1"/>
    <col min="16" max="20" width="13.5859375" style="1" customWidth="1"/>
    <col min="21" max="16384" width="9.01171875" style="1"/>
  </cols>
  <sheetData>
    <row r="1" spans="1:16" ht="24" thickBot="1" x14ac:dyDescent="0.25">
      <c r="C1" s="62" t="s">
        <v>20</v>
      </c>
      <c r="D1" s="63"/>
      <c r="E1" s="63"/>
      <c r="F1" s="63"/>
      <c r="G1" s="63"/>
      <c r="H1" s="63"/>
      <c r="I1" s="64"/>
    </row>
    <row r="2" spans="1:16" ht="15.75" thickBot="1" x14ac:dyDescent="0.25"/>
    <row r="3" spans="1:16" ht="15.75" thickBot="1" x14ac:dyDescent="0.25">
      <c r="B3" s="35" t="s">
        <v>0</v>
      </c>
      <c r="C3" s="36"/>
      <c r="D3" s="37"/>
      <c r="F3" s="33" t="s">
        <v>5</v>
      </c>
      <c r="H3" s="33" t="s">
        <v>6</v>
      </c>
      <c r="J3" s="33" t="s">
        <v>7</v>
      </c>
      <c r="L3" s="33" t="s">
        <v>8</v>
      </c>
    </row>
    <row r="4" spans="1:16" x14ac:dyDescent="0.2">
      <c r="A4" s="30" t="s">
        <v>3</v>
      </c>
      <c r="B4" s="4" t="s">
        <v>1</v>
      </c>
      <c r="C4" s="70" t="s">
        <v>4</v>
      </c>
      <c r="D4" s="5" t="s">
        <v>2</v>
      </c>
      <c r="F4" s="34"/>
      <c r="H4" s="34"/>
      <c r="J4" s="34"/>
      <c r="L4" s="34"/>
    </row>
    <row r="5" spans="1:16" x14ac:dyDescent="0.2">
      <c r="A5" s="31"/>
      <c r="B5" s="6">
        <v>20000</v>
      </c>
      <c r="C5" s="71"/>
      <c r="D5" s="7">
        <v>16000</v>
      </c>
      <c r="E5" s="2"/>
      <c r="F5" s="72">
        <v>10000</v>
      </c>
      <c r="G5" s="2"/>
      <c r="H5" s="72">
        <v>8000</v>
      </c>
      <c r="I5" s="2"/>
      <c r="J5" s="72">
        <v>4000</v>
      </c>
      <c r="K5" s="2"/>
      <c r="L5" s="72">
        <v>2000</v>
      </c>
      <c r="M5" s="2"/>
    </row>
    <row r="6" spans="1:16" ht="15.75" thickBot="1" x14ac:dyDescent="0.25">
      <c r="A6" s="32"/>
      <c r="B6" s="74">
        <v>36000</v>
      </c>
      <c r="C6" s="75"/>
      <c r="D6" s="76"/>
      <c r="F6" s="73"/>
      <c r="H6" s="73"/>
      <c r="J6" s="73"/>
      <c r="L6" s="73"/>
    </row>
    <row r="8" spans="1:16" x14ac:dyDescent="0.2">
      <c r="D8" s="3"/>
    </row>
    <row r="10" spans="1:16" ht="15.75" thickBot="1" x14ac:dyDescent="0.25"/>
    <row r="11" spans="1:16" x14ac:dyDescent="0.2">
      <c r="A11" s="30" t="s">
        <v>12</v>
      </c>
      <c r="B11" s="35" t="s">
        <v>9</v>
      </c>
      <c r="C11" s="36"/>
      <c r="D11" s="37"/>
      <c r="F11" s="35" t="s">
        <v>10</v>
      </c>
      <c r="G11" s="36"/>
      <c r="H11" s="37"/>
      <c r="J11" s="35" t="s">
        <v>11</v>
      </c>
      <c r="K11" s="36"/>
      <c r="L11" s="37"/>
      <c r="N11" s="35" t="s">
        <v>17</v>
      </c>
      <c r="O11" s="36"/>
      <c r="P11" s="37"/>
    </row>
    <row r="12" spans="1:16" x14ac:dyDescent="0.2">
      <c r="A12" s="31"/>
      <c r="B12" s="8">
        <f>B6*0.5</f>
        <v>18000</v>
      </c>
      <c r="C12" s="1" t="s">
        <v>4</v>
      </c>
      <c r="D12" s="9">
        <f>F5*0.8</f>
        <v>8000</v>
      </c>
      <c r="F12" s="43">
        <f>B6*0.4</f>
        <v>14400</v>
      </c>
      <c r="G12" s="44"/>
      <c r="H12" s="45"/>
      <c r="J12" s="8">
        <f>B6*0.1</f>
        <v>3600</v>
      </c>
      <c r="K12" s="1" t="s">
        <v>4</v>
      </c>
      <c r="L12" s="9">
        <f>F5*0.2</f>
        <v>2000</v>
      </c>
      <c r="N12" s="8">
        <f>H5</f>
        <v>8000</v>
      </c>
      <c r="O12" s="2">
        <f>J5</f>
        <v>4000</v>
      </c>
      <c r="P12" s="9">
        <f>L5</f>
        <v>2000</v>
      </c>
    </row>
    <row r="13" spans="1:16" ht="15.75" thickBot="1" x14ac:dyDescent="0.25">
      <c r="A13" s="32"/>
      <c r="B13" s="38">
        <f>B12+D12</f>
        <v>26000</v>
      </c>
      <c r="C13" s="39"/>
      <c r="D13" s="40"/>
      <c r="F13" s="46"/>
      <c r="G13" s="39"/>
      <c r="H13" s="40"/>
      <c r="J13" s="38">
        <f>J12+L12</f>
        <v>5600</v>
      </c>
      <c r="K13" s="39"/>
      <c r="L13" s="40"/>
      <c r="N13" s="38">
        <f>N12+O12+P12</f>
        <v>14000</v>
      </c>
      <c r="O13" s="39"/>
      <c r="P13" s="40"/>
    </row>
    <row r="15" spans="1:16" ht="15.75" thickBot="1" x14ac:dyDescent="0.25"/>
    <row r="16" spans="1:16" ht="14.25" customHeight="1" x14ac:dyDescent="0.2">
      <c r="A16" s="30" t="s">
        <v>13</v>
      </c>
      <c r="B16" s="41" t="s">
        <v>14</v>
      </c>
      <c r="D16" s="41" t="s">
        <v>15</v>
      </c>
      <c r="F16" s="55" t="s">
        <v>16</v>
      </c>
      <c r="G16" s="56"/>
      <c r="H16" s="57"/>
      <c r="J16" s="55" t="s">
        <v>17</v>
      </c>
      <c r="K16" s="56"/>
      <c r="L16" s="57"/>
    </row>
    <row r="17" spans="1:12" ht="15.75" thickBot="1" x14ac:dyDescent="0.25">
      <c r="A17" s="32"/>
      <c r="B17" s="42"/>
      <c r="D17" s="42"/>
      <c r="F17" s="46"/>
      <c r="G17" s="39"/>
      <c r="H17" s="40"/>
      <c r="J17" s="46"/>
      <c r="K17" s="39"/>
      <c r="L17" s="40"/>
    </row>
    <row r="18" spans="1:12" x14ac:dyDescent="0.2">
      <c r="A18" s="10"/>
    </row>
    <row r="19" spans="1:12" ht="15.75" thickBot="1" x14ac:dyDescent="0.25"/>
    <row r="20" spans="1:12" ht="14.25" customHeight="1" x14ac:dyDescent="0.2">
      <c r="A20" s="30" t="s">
        <v>18</v>
      </c>
      <c r="B20" s="41">
        <v>150</v>
      </c>
      <c r="D20" s="41">
        <v>526</v>
      </c>
      <c r="F20" s="55">
        <v>4</v>
      </c>
      <c r="G20" s="56"/>
      <c r="H20" s="57"/>
      <c r="J20" s="61">
        <v>10000</v>
      </c>
      <c r="K20" s="56"/>
      <c r="L20" s="57"/>
    </row>
    <row r="21" spans="1:12" ht="15.75" thickBot="1" x14ac:dyDescent="0.25">
      <c r="A21" s="32"/>
      <c r="B21" s="42"/>
      <c r="D21" s="42"/>
      <c r="F21" s="46"/>
      <c r="G21" s="39"/>
      <c r="H21" s="40"/>
      <c r="J21" s="46"/>
      <c r="K21" s="39"/>
      <c r="L21" s="40"/>
    </row>
    <row r="23" spans="1:12" ht="15.75" thickBot="1" x14ac:dyDescent="0.25"/>
    <row r="24" spans="1:12" x14ac:dyDescent="0.2">
      <c r="A24" s="30" t="s">
        <v>19</v>
      </c>
      <c r="B24" s="47">
        <f>B13/B20</f>
        <v>173.33333333333334</v>
      </c>
      <c r="D24" s="47">
        <f>F12/D20</f>
        <v>27.376425855513308</v>
      </c>
      <c r="F24" s="55">
        <f>J13/F20</f>
        <v>1400</v>
      </c>
      <c r="G24" s="56"/>
      <c r="H24" s="57"/>
      <c r="J24" s="49">
        <f>N13/J20</f>
        <v>1.4</v>
      </c>
      <c r="K24" s="50"/>
      <c r="L24" s="51"/>
    </row>
    <row r="25" spans="1:12" ht="15.75" thickBot="1" x14ac:dyDescent="0.25">
      <c r="A25" s="32"/>
      <c r="B25" s="48"/>
      <c r="D25" s="48"/>
      <c r="F25" s="46"/>
      <c r="G25" s="39"/>
      <c r="H25" s="40"/>
      <c r="J25" s="52"/>
      <c r="K25" s="53"/>
      <c r="L25" s="54"/>
    </row>
    <row r="26" spans="1:12" ht="15.75" thickBot="1" x14ac:dyDescent="0.25"/>
    <row r="27" spans="1:12" ht="15.75" thickBot="1" x14ac:dyDescent="0.25">
      <c r="B27" s="21" t="s">
        <v>21</v>
      </c>
      <c r="D27" s="21" t="s">
        <v>22</v>
      </c>
      <c r="F27" s="65" t="s">
        <v>23</v>
      </c>
      <c r="G27" s="66"/>
      <c r="H27" s="67"/>
      <c r="J27" s="65" t="s">
        <v>24</v>
      </c>
      <c r="K27" s="66"/>
      <c r="L27" s="67"/>
    </row>
    <row r="28" spans="1:12" ht="16.5" thickTop="1" thickBot="1" x14ac:dyDescent="0.25">
      <c r="A28" s="20" t="str">
        <f>B16</f>
        <v>No. of runs</v>
      </c>
      <c r="B28" s="11">
        <v>50</v>
      </c>
      <c r="C28" s="12"/>
      <c r="D28" s="12">
        <v>50</v>
      </c>
      <c r="E28" s="12"/>
      <c r="F28" s="68">
        <v>38</v>
      </c>
      <c r="G28" s="68"/>
      <c r="H28" s="68"/>
      <c r="I28" s="12"/>
      <c r="J28" s="68">
        <v>12</v>
      </c>
      <c r="K28" s="68"/>
      <c r="L28" s="69"/>
    </row>
    <row r="29" spans="1:12" ht="15.75" thickBot="1" x14ac:dyDescent="0.25">
      <c r="B29" s="22">
        <f>B28*B24</f>
        <v>8666.6666666666679</v>
      </c>
      <c r="C29" s="14"/>
      <c r="D29" s="23">
        <f>D28*B24</f>
        <v>8666.6666666666679</v>
      </c>
      <c r="E29" s="14"/>
      <c r="F29" s="58">
        <f>F28*B24</f>
        <v>6586.666666666667</v>
      </c>
      <c r="G29" s="58"/>
      <c r="H29" s="58"/>
      <c r="I29" s="14"/>
      <c r="J29" s="59">
        <f>J28*B24</f>
        <v>2080</v>
      </c>
      <c r="K29" s="59"/>
      <c r="L29" s="60"/>
    </row>
    <row r="30" spans="1:12" ht="15.75" thickBot="1" x14ac:dyDescent="0.25">
      <c r="A30" s="20" t="str">
        <f>D16</f>
        <v>Setup hrs.</v>
      </c>
      <c r="B30" s="13">
        <v>200</v>
      </c>
      <c r="C30" s="14"/>
      <c r="D30" s="14">
        <v>50</v>
      </c>
      <c r="E30" s="14"/>
      <c r="F30" s="59">
        <v>228</v>
      </c>
      <c r="G30" s="59"/>
      <c r="H30" s="59"/>
      <c r="I30" s="14"/>
      <c r="J30" s="59">
        <v>48</v>
      </c>
      <c r="K30" s="59"/>
      <c r="L30" s="60"/>
    </row>
    <row r="31" spans="1:12" ht="15.75" thickBot="1" x14ac:dyDescent="0.25">
      <c r="B31" s="22">
        <f>B30*$D$24</f>
        <v>5475.2851711026615</v>
      </c>
      <c r="C31" s="14"/>
      <c r="D31" s="23">
        <f>D30*$D$24</f>
        <v>1368.8212927756654</v>
      </c>
      <c r="E31" s="14"/>
      <c r="F31" s="58">
        <f>F30*D24</f>
        <v>6241.8250950570346</v>
      </c>
      <c r="G31" s="58"/>
      <c r="H31" s="58"/>
      <c r="I31" s="14"/>
      <c r="J31" s="58">
        <f>J30*D24</f>
        <v>1314.0684410646388</v>
      </c>
      <c r="K31" s="58"/>
      <c r="L31" s="77"/>
    </row>
    <row r="32" spans="1:12" ht="15.75" thickBot="1" x14ac:dyDescent="0.25">
      <c r="A32" s="20" t="str">
        <f>F16</f>
        <v>No. of products</v>
      </c>
      <c r="B32" s="13">
        <v>1</v>
      </c>
      <c r="C32" s="14"/>
      <c r="D32" s="14">
        <v>1</v>
      </c>
      <c r="E32" s="14"/>
      <c r="F32" s="59">
        <v>1</v>
      </c>
      <c r="G32" s="59"/>
      <c r="H32" s="59"/>
      <c r="I32" s="14"/>
      <c r="J32" s="59">
        <v>1</v>
      </c>
      <c r="K32" s="59"/>
      <c r="L32" s="60"/>
    </row>
    <row r="33" spans="1:20" ht="16.5" thickTop="1" thickBot="1" x14ac:dyDescent="0.25">
      <c r="B33" s="13">
        <f>B32*F24</f>
        <v>1400</v>
      </c>
      <c r="C33" s="14"/>
      <c r="D33" s="14">
        <f>D32*F24</f>
        <v>1400</v>
      </c>
      <c r="E33" s="14"/>
      <c r="F33" s="59">
        <f>F32*F24</f>
        <v>1400</v>
      </c>
      <c r="G33" s="59"/>
      <c r="H33" s="59"/>
      <c r="I33" s="14"/>
      <c r="J33" s="59">
        <f>J32*F24</f>
        <v>1400</v>
      </c>
      <c r="K33" s="59"/>
      <c r="L33" s="60"/>
      <c r="P33" s="78" t="s">
        <v>25</v>
      </c>
      <c r="Q33" s="68"/>
      <c r="R33" s="68"/>
      <c r="S33" s="68"/>
      <c r="T33" s="69"/>
    </row>
    <row r="34" spans="1:20" ht="15.75" thickBot="1" x14ac:dyDescent="0.25">
      <c r="A34" s="20" t="str">
        <f>J16</f>
        <v>Machine Hrs.</v>
      </c>
      <c r="B34" s="13">
        <f>T34</f>
        <v>5000</v>
      </c>
      <c r="C34" s="14"/>
      <c r="D34" s="14">
        <f>T35</f>
        <v>4000</v>
      </c>
      <c r="E34" s="14"/>
      <c r="F34" s="59">
        <f>T36</f>
        <v>900</v>
      </c>
      <c r="G34" s="59"/>
      <c r="H34" s="59"/>
      <c r="I34" s="14"/>
      <c r="J34" s="59">
        <f>T37</f>
        <v>100</v>
      </c>
      <c r="K34" s="59"/>
      <c r="L34" s="60"/>
      <c r="P34" s="13" t="s">
        <v>21</v>
      </c>
      <c r="Q34" s="14" t="s">
        <v>26</v>
      </c>
      <c r="R34" s="14">
        <v>50000</v>
      </c>
      <c r="S34" s="14">
        <v>0.1</v>
      </c>
      <c r="T34" s="15">
        <f>R34*S34</f>
        <v>5000</v>
      </c>
    </row>
    <row r="35" spans="1:20" ht="15.75" thickBot="1" x14ac:dyDescent="0.25">
      <c r="B35" s="13">
        <f>B34*J24</f>
        <v>7000</v>
      </c>
      <c r="C35" s="14"/>
      <c r="D35" s="14">
        <f>D34*J24</f>
        <v>5600</v>
      </c>
      <c r="E35" s="14"/>
      <c r="F35" s="59">
        <f>F34*J24</f>
        <v>1260</v>
      </c>
      <c r="G35" s="59"/>
      <c r="H35" s="59"/>
      <c r="I35" s="14"/>
      <c r="J35" s="59">
        <f>J34*J24</f>
        <v>140</v>
      </c>
      <c r="K35" s="59"/>
      <c r="L35" s="60"/>
      <c r="P35" s="13" t="s">
        <v>22</v>
      </c>
      <c r="Q35" s="14" t="s">
        <v>26</v>
      </c>
      <c r="R35" s="14">
        <v>40000</v>
      </c>
      <c r="S35" s="14">
        <v>0.1</v>
      </c>
      <c r="T35" s="15">
        <f t="shared" ref="T35:T37" si="0">R35*S35</f>
        <v>4000</v>
      </c>
    </row>
    <row r="36" spans="1:20" ht="15.75" thickBot="1" x14ac:dyDescent="0.25">
      <c r="A36" s="20" t="s">
        <v>30</v>
      </c>
      <c r="B36" s="24">
        <f>B29+B31+B33+B35</f>
        <v>22541.951837769331</v>
      </c>
      <c r="C36" s="17"/>
      <c r="D36" s="25">
        <f>D29+D31+D33+D35</f>
        <v>17035.487959442333</v>
      </c>
      <c r="E36" s="17"/>
      <c r="F36" s="79">
        <f>F29+F31+F33+F35</f>
        <v>15488.491761723701</v>
      </c>
      <c r="G36" s="79"/>
      <c r="H36" s="79"/>
      <c r="I36" s="17"/>
      <c r="J36" s="79">
        <f>J29+J31+J33+J35</f>
        <v>4934.068441064639</v>
      </c>
      <c r="K36" s="79"/>
      <c r="L36" s="80"/>
      <c r="P36" s="13" t="s">
        <v>23</v>
      </c>
      <c r="Q36" s="14" t="s">
        <v>26</v>
      </c>
      <c r="R36" s="14">
        <v>9000</v>
      </c>
      <c r="S36" s="14">
        <v>0.1</v>
      </c>
      <c r="T36" s="15">
        <f t="shared" si="0"/>
        <v>900</v>
      </c>
    </row>
    <row r="37" spans="1:20" ht="15.75" thickBot="1" x14ac:dyDescent="0.25">
      <c r="P37" s="16" t="s">
        <v>24</v>
      </c>
      <c r="Q37" s="17" t="s">
        <v>26</v>
      </c>
      <c r="R37" s="17">
        <v>1000</v>
      </c>
      <c r="S37" s="17">
        <v>0.1</v>
      </c>
      <c r="T37" s="18">
        <f t="shared" si="0"/>
        <v>100</v>
      </c>
    </row>
    <row r="38" spans="1:20" ht="16.5" thickTop="1" thickBot="1" x14ac:dyDescent="0.25">
      <c r="A38" s="20" t="s">
        <v>27</v>
      </c>
      <c r="B38" s="11">
        <v>75000</v>
      </c>
      <c r="C38" s="12"/>
      <c r="D38" s="12">
        <v>60000</v>
      </c>
      <c r="E38" s="12"/>
      <c r="F38" s="68">
        <v>13950</v>
      </c>
      <c r="G38" s="68"/>
      <c r="H38" s="68"/>
      <c r="I38" s="12"/>
      <c r="J38" s="68">
        <v>1650</v>
      </c>
      <c r="K38" s="68"/>
      <c r="L38" s="69"/>
    </row>
    <row r="39" spans="1:20" ht="15.75" thickBot="1" x14ac:dyDescent="0.25">
      <c r="A39" s="19" t="s">
        <v>30</v>
      </c>
      <c r="B39" s="22">
        <v>22541.951837769331</v>
      </c>
      <c r="C39" s="14"/>
      <c r="D39" s="23">
        <v>17035.487959442333</v>
      </c>
      <c r="E39" s="14"/>
      <c r="F39" s="58">
        <v>15488.491761723701</v>
      </c>
      <c r="G39" s="58"/>
      <c r="H39" s="58"/>
      <c r="I39" s="14"/>
      <c r="J39" s="58">
        <v>4934.068441064639</v>
      </c>
      <c r="K39" s="58"/>
      <c r="L39" s="77"/>
    </row>
    <row r="40" spans="1:20" ht="15.75" thickBot="1" x14ac:dyDescent="0.25">
      <c r="A40" s="20" t="s">
        <v>28</v>
      </c>
      <c r="B40" s="13">
        <v>25000</v>
      </c>
      <c r="C40" s="14"/>
      <c r="D40" s="14">
        <v>20000</v>
      </c>
      <c r="E40" s="14"/>
      <c r="F40" s="59">
        <v>4680</v>
      </c>
      <c r="G40" s="59"/>
      <c r="H40" s="59"/>
      <c r="I40" s="14"/>
      <c r="J40" s="59">
        <v>550</v>
      </c>
      <c r="K40" s="59"/>
      <c r="L40" s="60"/>
    </row>
    <row r="41" spans="1:20" ht="15.75" thickBot="1" x14ac:dyDescent="0.25">
      <c r="A41" s="20" t="s">
        <v>29</v>
      </c>
      <c r="B41" s="13">
        <v>10000</v>
      </c>
      <c r="C41" s="14"/>
      <c r="D41" s="14">
        <v>8000</v>
      </c>
      <c r="E41" s="14"/>
      <c r="F41" s="59">
        <v>1800</v>
      </c>
      <c r="G41" s="59"/>
      <c r="H41" s="59"/>
      <c r="I41" s="14"/>
      <c r="J41" s="59">
        <v>200</v>
      </c>
      <c r="K41" s="59"/>
      <c r="L41" s="60"/>
    </row>
    <row r="42" spans="1:20" ht="15.75" thickBot="1" x14ac:dyDescent="0.25">
      <c r="A42" s="20" t="s">
        <v>31</v>
      </c>
      <c r="B42" s="24">
        <f>B38-(B39+B40+B41)</f>
        <v>17458.048162230669</v>
      </c>
      <c r="C42" s="17"/>
      <c r="D42" s="25">
        <f>D38-(D39+D40+D41)</f>
        <v>14964.512040557667</v>
      </c>
      <c r="E42" s="17"/>
      <c r="F42" s="79">
        <f>F38-(F39+F40+F41)</f>
        <v>-8018.4917617237006</v>
      </c>
      <c r="G42" s="81"/>
      <c r="H42" s="81"/>
      <c r="I42" s="17"/>
      <c r="J42" s="79">
        <f>J38-(J39+J40+J41)</f>
        <v>-4034.068441064639</v>
      </c>
      <c r="K42" s="81"/>
      <c r="L42" s="82"/>
    </row>
    <row r="44" spans="1:20" ht="15.75" thickBot="1" x14ac:dyDescent="0.25"/>
    <row r="45" spans="1:20" ht="15.75" thickBot="1" x14ac:dyDescent="0.25">
      <c r="A45" s="26" t="s">
        <v>36</v>
      </c>
    </row>
    <row r="46" spans="1:20" ht="30.4" customHeight="1" thickTop="1" x14ac:dyDescent="0.2">
      <c r="A46" s="27">
        <v>1</v>
      </c>
      <c r="B46" s="86" t="s">
        <v>37</v>
      </c>
      <c r="C46" s="86"/>
      <c r="D46" s="86"/>
      <c r="E46" s="86"/>
      <c r="F46" s="86"/>
      <c r="G46" s="86"/>
      <c r="H46" s="86"/>
      <c r="I46" s="86"/>
      <c r="J46" s="86"/>
      <c r="K46" s="86"/>
      <c r="L46" s="87"/>
    </row>
    <row r="47" spans="1:20" x14ac:dyDescent="0.2">
      <c r="A47" s="28">
        <v>2</v>
      </c>
      <c r="B47" s="88" t="s">
        <v>38</v>
      </c>
      <c r="C47" s="88"/>
      <c r="D47" s="88"/>
      <c r="E47" s="88"/>
      <c r="F47" s="88"/>
      <c r="G47" s="88"/>
      <c r="H47" s="88"/>
      <c r="I47" s="88"/>
      <c r="J47" s="88"/>
      <c r="K47" s="88"/>
      <c r="L47" s="89"/>
    </row>
    <row r="48" spans="1:20" x14ac:dyDescent="0.2">
      <c r="A48" s="28">
        <v>3</v>
      </c>
      <c r="B48" s="88" t="s">
        <v>39</v>
      </c>
      <c r="C48" s="88"/>
      <c r="D48" s="88"/>
      <c r="E48" s="88"/>
      <c r="F48" s="88"/>
      <c r="G48" s="88"/>
      <c r="H48" s="88"/>
      <c r="I48" s="88"/>
      <c r="J48" s="88"/>
      <c r="K48" s="88"/>
      <c r="L48" s="89"/>
    </row>
    <row r="49" spans="1:12" ht="15.75" thickBot="1" x14ac:dyDescent="0.25">
      <c r="A49" s="29">
        <v>4</v>
      </c>
      <c r="B49" s="90" t="s">
        <v>32</v>
      </c>
      <c r="C49" s="90"/>
      <c r="D49" s="90"/>
      <c r="E49" s="91"/>
      <c r="F49" s="91"/>
      <c r="G49" s="91"/>
      <c r="H49" s="91"/>
      <c r="I49" s="91"/>
      <c r="J49" s="91"/>
      <c r="K49" s="91"/>
      <c r="L49" s="92"/>
    </row>
    <row r="50" spans="1:12" ht="15.75" thickTop="1" x14ac:dyDescent="0.2">
      <c r="B50" s="93" t="s">
        <v>33</v>
      </c>
      <c r="C50" s="94"/>
      <c r="D50" s="95"/>
    </row>
    <row r="51" spans="1:12" x14ac:dyDescent="0.2">
      <c r="B51" s="96" t="s">
        <v>34</v>
      </c>
      <c r="C51" s="97"/>
      <c r="D51" s="98"/>
    </row>
    <row r="52" spans="1:12" ht="15.75" thickBot="1" x14ac:dyDescent="0.25">
      <c r="B52" s="83" t="s">
        <v>35</v>
      </c>
      <c r="C52" s="84"/>
      <c r="D52" s="85"/>
    </row>
  </sheetData>
  <mergeCells count="75">
    <mergeCell ref="B52:D52"/>
    <mergeCell ref="B46:L46"/>
    <mergeCell ref="B47:L47"/>
    <mergeCell ref="B48:L48"/>
    <mergeCell ref="B49:L49"/>
    <mergeCell ref="B50:D50"/>
    <mergeCell ref="B51:D51"/>
    <mergeCell ref="F41:H41"/>
    <mergeCell ref="J41:L41"/>
    <mergeCell ref="F39:H39"/>
    <mergeCell ref="J39:L39"/>
    <mergeCell ref="F42:H42"/>
    <mergeCell ref="J42:L42"/>
    <mergeCell ref="F40:H40"/>
    <mergeCell ref="J40:L40"/>
    <mergeCell ref="P33:T33"/>
    <mergeCell ref="F36:H36"/>
    <mergeCell ref="J36:L36"/>
    <mergeCell ref="F38:H38"/>
    <mergeCell ref="J38:L38"/>
    <mergeCell ref="F33:H33"/>
    <mergeCell ref="J33:L33"/>
    <mergeCell ref="F34:H34"/>
    <mergeCell ref="J34:L34"/>
    <mergeCell ref="F35:H35"/>
    <mergeCell ref="J35:L35"/>
    <mergeCell ref="F30:H30"/>
    <mergeCell ref="J30:L30"/>
    <mergeCell ref="J31:L31"/>
    <mergeCell ref="F31:H31"/>
    <mergeCell ref="F32:H32"/>
    <mergeCell ref="J32:L32"/>
    <mergeCell ref="C1:I1"/>
    <mergeCell ref="F27:H27"/>
    <mergeCell ref="J27:L27"/>
    <mergeCell ref="F28:H28"/>
    <mergeCell ref="J28:L28"/>
    <mergeCell ref="J11:L11"/>
    <mergeCell ref="J13:L13"/>
    <mergeCell ref="C4:C5"/>
    <mergeCell ref="J3:J4"/>
    <mergeCell ref="L3:L4"/>
    <mergeCell ref="F5:F6"/>
    <mergeCell ref="H5:H6"/>
    <mergeCell ref="J5:J6"/>
    <mergeCell ref="L5:L6"/>
    <mergeCell ref="B3:D3"/>
    <mergeCell ref="B6:D6"/>
    <mergeCell ref="F29:H29"/>
    <mergeCell ref="J29:L29"/>
    <mergeCell ref="J20:L21"/>
    <mergeCell ref="B24:B25"/>
    <mergeCell ref="F24:H25"/>
    <mergeCell ref="A24:A25"/>
    <mergeCell ref="D24:D25"/>
    <mergeCell ref="J24:L25"/>
    <mergeCell ref="F16:H17"/>
    <mergeCell ref="J16:L17"/>
    <mergeCell ref="A20:A21"/>
    <mergeCell ref="B20:B21"/>
    <mergeCell ref="D20:D21"/>
    <mergeCell ref="F20:H21"/>
    <mergeCell ref="A16:A17"/>
    <mergeCell ref="B16:B17"/>
    <mergeCell ref="D16:D17"/>
    <mergeCell ref="B11:D11"/>
    <mergeCell ref="B13:D13"/>
    <mergeCell ref="A4:A6"/>
    <mergeCell ref="F3:F4"/>
    <mergeCell ref="H3:H4"/>
    <mergeCell ref="N11:P11"/>
    <mergeCell ref="N13:P13"/>
    <mergeCell ref="A11:A13"/>
    <mergeCell ref="F11:H11"/>
    <mergeCell ref="F12:H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Classic Pen 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</dc:creator>
  <cp:lastModifiedBy>Aman Singh</cp:lastModifiedBy>
  <dcterms:created xsi:type="dcterms:W3CDTF">2015-06-05T18:17:20Z</dcterms:created>
  <dcterms:modified xsi:type="dcterms:W3CDTF">2026-01-02T16:58:45Z</dcterms:modified>
</cp:coreProperties>
</file>