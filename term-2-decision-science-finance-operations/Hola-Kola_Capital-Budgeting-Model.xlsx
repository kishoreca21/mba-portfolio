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90\Downloads\"/>
    </mc:Choice>
  </mc:AlternateContent>
  <xr:revisionPtr revIDLastSave="0" documentId="13_ncr:1_{12B301CC-4CDC-4038-ADB4-7437401A8BE0}" xr6:coauthVersionLast="47" xr6:coauthVersionMax="47" xr10:uidLastSave="{00000000-0000-0000-0000-000000000000}"/>
  <bookViews>
    <workbookView xWindow="-98" yWindow="-98" windowWidth="21795" windowHeight="12975" xr2:uid="{1A8CF8C8-4544-4919-99F5-B2C48D35CA79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0" i="1" l="1"/>
  <c r="C55" i="1"/>
  <c r="D59" i="1"/>
  <c r="C57" i="1"/>
  <c r="H55" i="1"/>
  <c r="E29" i="1"/>
  <c r="F29" i="1"/>
  <c r="G29" i="1"/>
  <c r="H29" i="1"/>
  <c r="D29" i="1"/>
  <c r="C10" i="4"/>
  <c r="B10" i="4"/>
  <c r="C9" i="4"/>
  <c r="B9" i="4"/>
  <c r="C7" i="4"/>
  <c r="B7" i="4"/>
  <c r="B22" i="2"/>
  <c r="G19" i="2"/>
  <c r="D11" i="3"/>
  <c r="C11" i="3"/>
  <c r="E11" i="3" s="1"/>
  <c r="B11" i="3"/>
  <c r="E10" i="3"/>
  <c r="E9" i="3"/>
  <c r="E8" i="3"/>
  <c r="E7" i="3"/>
  <c r="E6" i="3"/>
  <c r="E5" i="3"/>
  <c r="E4" i="3"/>
  <c r="E3" i="3"/>
  <c r="D19" i="2"/>
  <c r="E19" i="2"/>
  <c r="F19" i="2"/>
  <c r="C19" i="2"/>
  <c r="D17" i="2"/>
  <c r="E17" i="2"/>
  <c r="F17" i="2"/>
  <c r="G17" i="2"/>
  <c r="C17" i="2"/>
  <c r="D16" i="2"/>
  <c r="E16" i="2"/>
  <c r="F16" i="2"/>
  <c r="G16" i="2"/>
  <c r="C16" i="2"/>
  <c r="D11" i="2"/>
  <c r="E11" i="2"/>
  <c r="F11" i="2"/>
  <c r="G11" i="2"/>
  <c r="C11" i="2"/>
  <c r="B10" i="2"/>
  <c r="D53" i="1"/>
  <c r="H44" i="1"/>
  <c r="H35" i="1"/>
  <c r="D28" i="1"/>
  <c r="E28" i="1"/>
  <c r="F28" i="1"/>
  <c r="G28" i="1"/>
  <c r="H42" i="1" s="1"/>
  <c r="C28" i="1"/>
  <c r="H21" i="1"/>
  <c r="D31" i="1"/>
  <c r="D32" i="1"/>
  <c r="D35" i="1"/>
  <c r="D36" i="1"/>
  <c r="D37" i="1"/>
  <c r="D38" i="1"/>
  <c r="C18" i="1"/>
  <c r="H19" i="1"/>
  <c r="D40" i="1"/>
  <c r="D41" i="1"/>
  <c r="D42" i="1"/>
  <c r="D44" i="1" s="1"/>
  <c r="D51" i="1"/>
  <c r="D52" i="1"/>
  <c r="E31" i="1"/>
  <c r="E32" i="1"/>
  <c r="E35" i="1"/>
  <c r="E36" i="1"/>
  <c r="E37" i="1"/>
  <c r="E38" i="1"/>
  <c r="E40" i="1"/>
  <c r="E41" i="1"/>
  <c r="E42" i="1"/>
  <c r="E44" i="1"/>
  <c r="E46" i="1"/>
  <c r="E48" i="1"/>
  <c r="E51" i="1"/>
  <c r="E53" i="1" s="1"/>
  <c r="E52" i="1"/>
  <c r="F31" i="1"/>
  <c r="F32" i="1"/>
  <c r="F35" i="1"/>
  <c r="F36" i="1"/>
  <c r="F37" i="1"/>
  <c r="F38" i="1"/>
  <c r="F40" i="1"/>
  <c r="F41" i="1"/>
  <c r="F42" i="1"/>
  <c r="F44" i="1"/>
  <c r="F46" i="1"/>
  <c r="F48" i="1"/>
  <c r="F51" i="1"/>
  <c r="F53" i="1" s="1"/>
  <c r="F52" i="1"/>
  <c r="G31" i="1"/>
  <c r="G32" i="1"/>
  <c r="G35" i="1"/>
  <c r="G36" i="1"/>
  <c r="G37" i="1"/>
  <c r="G38" i="1"/>
  <c r="G40" i="1"/>
  <c r="G41" i="1"/>
  <c r="G42" i="1"/>
  <c r="G44" i="1"/>
  <c r="G46" i="1"/>
  <c r="G48" i="1"/>
  <c r="G51" i="1"/>
  <c r="G53" i="1" s="1"/>
  <c r="G52" i="1"/>
  <c r="H31" i="1"/>
  <c r="H32" i="1"/>
  <c r="G24" i="1"/>
  <c r="G25" i="1"/>
  <c r="G26" i="1"/>
  <c r="H36" i="1"/>
  <c r="H37" i="1"/>
  <c r="H38" i="1"/>
  <c r="H40" i="1"/>
  <c r="H41" i="1"/>
  <c r="H51" i="1"/>
  <c r="H52" i="1"/>
  <c r="H53" i="1"/>
  <c r="C24" i="1"/>
  <c r="C25" i="1"/>
  <c r="C26" i="1"/>
  <c r="F24" i="1"/>
  <c r="F25" i="1"/>
  <c r="F26" i="1"/>
  <c r="E24" i="1"/>
  <c r="E25" i="1"/>
  <c r="E26" i="1"/>
  <c r="D24" i="1"/>
  <c r="D25" i="1"/>
  <c r="D26" i="1"/>
  <c r="G55" i="1" l="1"/>
  <c r="E55" i="1"/>
  <c r="F55" i="1"/>
  <c r="D46" i="1"/>
  <c r="D48" i="1" s="1"/>
  <c r="D55" i="1" s="1"/>
  <c r="H46" i="1"/>
  <c r="H48" i="1" s="1"/>
  <c r="D63" i="1" l="1"/>
</calcChain>
</file>

<file path=xl/sharedStrings.xml><?xml version="1.0" encoding="utf-8"?>
<sst xmlns="http://schemas.openxmlformats.org/spreadsheetml/2006/main" count="92" uniqueCount="89">
  <si>
    <t>Monthly Sales (units)</t>
  </si>
  <si>
    <t>Cost of New Equipment (pesos)</t>
  </si>
  <si>
    <t xml:space="preserve">   Increase (Decrease) in Sales Volume</t>
  </si>
  <si>
    <t>Resale Value of Equipment (pesos)</t>
  </si>
  <si>
    <t>Unit Sale Price (pesos)</t>
  </si>
  <si>
    <t>% Overhead to Sales</t>
  </si>
  <si>
    <t xml:space="preserve">   Increase (Decrease) in Sales Price</t>
  </si>
  <si>
    <t>Building Rental (pesos)</t>
  </si>
  <si>
    <t>Unit Raw Material Cost (pesos)</t>
  </si>
  <si>
    <t>Average Collection Period (Days)</t>
  </si>
  <si>
    <t xml:space="preserve">   Increase (Decrease) in Raw Material Costs</t>
  </si>
  <si>
    <t>Average Payment Period (Days)</t>
  </si>
  <si>
    <t>Monthly Labor Costs (pesos)</t>
  </si>
  <si>
    <t>Years of Straight-line Depreciation</t>
  </si>
  <si>
    <t xml:space="preserve">   Increase (Decrease) in Direct Labor Costs</t>
  </si>
  <si>
    <t>Cost of Capital</t>
  </si>
  <si>
    <t>Monthly Energy Costs (pesos)</t>
  </si>
  <si>
    <t>Tax Rate</t>
  </si>
  <si>
    <t xml:space="preserve">   Increase (Decrease) in Energy Costs</t>
  </si>
  <si>
    <t>Erosion (pesos)</t>
  </si>
  <si>
    <t>Year</t>
  </si>
  <si>
    <t>Working Capital Requirements (pesos)</t>
  </si>
  <si>
    <t xml:space="preserve">       Receivables ((Sales/365)*Avg Collection Period)</t>
  </si>
  <si>
    <t xml:space="preserve">       Inventories (One month materials costs)</t>
  </si>
  <si>
    <t xml:space="preserve">       Payables ((Material Costs/365)*Avg Pmt Period)</t>
  </si>
  <si>
    <t>Change in Working Capital Requirements (pesos)</t>
  </si>
  <si>
    <t>Annual Sales (Units)</t>
  </si>
  <si>
    <t>Annual Sales Revenue (pesos)</t>
  </si>
  <si>
    <t>Operating Expenses (pesos)</t>
  </si>
  <si>
    <t xml:space="preserve">       Raw Material Costs</t>
  </si>
  <si>
    <t xml:space="preserve">       Direct Labor Costs</t>
  </si>
  <si>
    <t xml:space="preserve">       Energy Costs</t>
  </si>
  <si>
    <t xml:space="preserve">       Building Rental (Opportunity Costs)</t>
  </si>
  <si>
    <t xml:space="preserve">       Depreciation</t>
  </si>
  <si>
    <t xml:space="preserve">       General Administrative and Selling Expenses</t>
  </si>
  <si>
    <t xml:space="preserve">       Overhead Expenses</t>
  </si>
  <si>
    <t>Total Operating Expenses (pesos)</t>
  </si>
  <si>
    <t>Operating Profit Before Tax (pesos)</t>
  </si>
  <si>
    <t xml:space="preserve">     Taxes (pesos)</t>
  </si>
  <si>
    <t>Operating Profit After Tax (pesos)</t>
  </si>
  <si>
    <t>Project's Operating Cash Flow (pesos)</t>
  </si>
  <si>
    <t xml:space="preserve">     Depreciation (pesos)</t>
  </si>
  <si>
    <t xml:space="preserve">     Erosion of Existing Sales (pesos)</t>
  </si>
  <si>
    <t>Total Operating Cash Flow (pesos)</t>
  </si>
  <si>
    <t>Project's Free Cash Flow (pesos)</t>
  </si>
  <si>
    <t>Present Value of Cash Flow (pesos)</t>
  </si>
  <si>
    <t>NPV (pesos)</t>
  </si>
  <si>
    <t>IRR</t>
  </si>
  <si>
    <t>Payback Period (Years)</t>
  </si>
  <si>
    <t>Discounted Payback Period (Years)</t>
  </si>
  <si>
    <t>Profitability Index</t>
  </si>
  <si>
    <t xml:space="preserve">&gt;5 </t>
  </si>
  <si>
    <t>Less tax</t>
  </si>
  <si>
    <t>Machine</t>
  </si>
  <si>
    <t>Depreciation</t>
  </si>
  <si>
    <t>Y1</t>
  </si>
  <si>
    <t>y2</t>
  </si>
  <si>
    <t>Y3</t>
  </si>
  <si>
    <t>y4</t>
  </si>
  <si>
    <t>y5</t>
  </si>
  <si>
    <t>Y0</t>
  </si>
  <si>
    <t>EBIT</t>
  </si>
  <si>
    <t>Tax at 21%</t>
  </si>
  <si>
    <t>Profit after Tax</t>
  </si>
  <si>
    <t>Cash flow after tax</t>
  </si>
  <si>
    <t>Department</t>
  </si>
  <si>
    <t>Patients</t>
  </si>
  <si>
    <t>Salaries</t>
  </si>
  <si>
    <t>Others</t>
  </si>
  <si>
    <t>Total</t>
  </si>
  <si>
    <t>pediatrician</t>
  </si>
  <si>
    <t>Family</t>
  </si>
  <si>
    <t>Adult</t>
  </si>
  <si>
    <t>Nursing</t>
  </si>
  <si>
    <t>Mental</t>
  </si>
  <si>
    <t xml:space="preserve">Social </t>
  </si>
  <si>
    <t>Community</t>
  </si>
  <si>
    <t>Dental</t>
  </si>
  <si>
    <t>Sub-total</t>
  </si>
  <si>
    <t xml:space="preserve">NPV </t>
  </si>
  <si>
    <t>A</t>
  </si>
  <si>
    <t>B</t>
  </si>
  <si>
    <t>Cost</t>
  </si>
  <si>
    <t>Time</t>
  </si>
  <si>
    <t>Exp</t>
  </si>
  <si>
    <t>Dep</t>
  </si>
  <si>
    <t>NPV</t>
  </si>
  <si>
    <t>fv</t>
  </si>
  <si>
    <t>My company What kind of bonds they invest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</si>
</sst>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₹&quot;\ #,##0.00;[Red]&quot;₹&quot;\ \-#,##0.00"/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#,##0.0"/>
    <numFmt numFmtId="167" formatCode="0.0%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1" fillId="0" borderId="1" xfId="1" applyBorder="1"/>
    <xf numFmtId="0" fontId="1" fillId="0" borderId="2" xfId="1" applyBorder="1"/>
    <xf numFmtId="3" fontId="1" fillId="0" borderId="3" xfId="1" applyNumberFormat="1" applyBorder="1"/>
    <xf numFmtId="165" fontId="0" fillId="0" borderId="3" xfId="2" applyNumberFormat="1" applyFont="1" applyBorder="1"/>
    <xf numFmtId="0" fontId="1" fillId="0" borderId="4" xfId="1" applyBorder="1"/>
    <xf numFmtId="9" fontId="0" fillId="0" borderId="5" xfId="3" applyFont="1" applyBorder="1"/>
    <xf numFmtId="165" fontId="0" fillId="0" borderId="5" xfId="2" applyNumberFormat="1" applyFont="1" applyBorder="1"/>
    <xf numFmtId="3" fontId="1" fillId="0" borderId="5" xfId="1" applyNumberFormat="1" applyBorder="1"/>
    <xf numFmtId="166" fontId="1" fillId="0" borderId="5" xfId="1" applyNumberFormat="1" applyBorder="1"/>
    <xf numFmtId="0" fontId="1" fillId="0" borderId="5" xfId="1" applyBorder="1"/>
    <xf numFmtId="9" fontId="0" fillId="0" borderId="5" xfId="3" applyFont="1" applyFill="1" applyBorder="1"/>
    <xf numFmtId="167" fontId="0" fillId="0" borderId="5" xfId="3" applyNumberFormat="1" applyFont="1" applyBorder="1"/>
    <xf numFmtId="0" fontId="1" fillId="0" borderId="6" xfId="1" applyBorder="1"/>
    <xf numFmtId="0" fontId="1" fillId="0" borderId="7" xfId="1" applyBorder="1"/>
    <xf numFmtId="9" fontId="0" fillId="0" borderId="8" xfId="3" applyFont="1" applyFill="1" applyBorder="1"/>
    <xf numFmtId="165" fontId="0" fillId="0" borderId="8" xfId="2" applyNumberFormat="1" applyFont="1" applyFill="1" applyBorder="1"/>
    <xf numFmtId="0" fontId="4" fillId="0" borderId="7" xfId="1" applyFont="1" applyBorder="1"/>
    <xf numFmtId="0" fontId="5" fillId="0" borderId="0" xfId="1" applyFont="1"/>
    <xf numFmtId="165" fontId="1" fillId="0" borderId="0" xfId="1" applyNumberFormat="1"/>
    <xf numFmtId="165" fontId="1" fillId="0" borderId="9" xfId="1" applyNumberFormat="1" applyBorder="1"/>
    <xf numFmtId="165" fontId="0" fillId="0" borderId="0" xfId="2" applyNumberFormat="1" applyFont="1" applyBorder="1" applyAlignment="1"/>
    <xf numFmtId="165" fontId="0" fillId="0" borderId="9" xfId="2" applyNumberFormat="1" applyFont="1" applyBorder="1" applyAlignment="1"/>
    <xf numFmtId="164" fontId="1" fillId="0" borderId="0" xfId="1" applyNumberFormat="1"/>
    <xf numFmtId="165" fontId="1" fillId="0" borderId="9" xfId="2" applyNumberFormat="1" applyFont="1" applyBorder="1"/>
    <xf numFmtId="165" fontId="0" fillId="0" borderId="0" xfId="2" applyNumberFormat="1" applyFont="1"/>
    <xf numFmtId="0" fontId="4" fillId="0" borderId="0" xfId="1" applyFont="1"/>
    <xf numFmtId="165" fontId="4" fillId="0" borderId="0" xfId="1" applyNumberFormat="1" applyFont="1"/>
    <xf numFmtId="10" fontId="1" fillId="0" borderId="0" xfId="1" applyNumberFormat="1"/>
    <xf numFmtId="2" fontId="1" fillId="0" borderId="0" xfId="1" applyNumberFormat="1"/>
    <xf numFmtId="2" fontId="1" fillId="0" borderId="0" xfId="1" applyNumberFormat="1" applyAlignment="1">
      <alignment horizontal="right"/>
    </xf>
    <xf numFmtId="165" fontId="1" fillId="0" borderId="2" xfId="1" applyNumberFormat="1" applyBorder="1"/>
    <xf numFmtId="164" fontId="1" fillId="0" borderId="7" xfId="1" applyNumberFormat="1" applyBorder="1"/>
    <xf numFmtId="0" fontId="1" fillId="0" borderId="5" xfId="1" applyBorder="1" applyAlignment="1">
      <alignment horizontal="center"/>
    </xf>
    <xf numFmtId="165" fontId="1" fillId="0" borderId="3" xfId="1" applyNumberFormat="1" applyBorder="1" applyAlignment="1">
      <alignment horizontal="center"/>
    </xf>
    <xf numFmtId="10" fontId="1" fillId="0" borderId="5" xfId="1" applyNumberFormat="1" applyBorder="1" applyAlignment="1">
      <alignment horizontal="center"/>
    </xf>
    <xf numFmtId="2" fontId="1" fillId="0" borderId="5" xfId="1" applyNumberFormat="1" applyBorder="1" applyAlignment="1">
      <alignment horizontal="center"/>
    </xf>
    <xf numFmtId="43" fontId="1" fillId="0" borderId="8" xfId="1" applyNumberFormat="1" applyBorder="1" applyAlignment="1">
      <alignment vertical="center"/>
    </xf>
    <xf numFmtId="165" fontId="1" fillId="2" borderId="0" xfId="1" applyNumberFormat="1" applyFill="1"/>
    <xf numFmtId="3" fontId="0" fillId="0" borderId="0" xfId="0" applyNumberFormat="1"/>
    <xf numFmtId="3" fontId="1" fillId="0" borderId="0" xfId="1" applyNumberFormat="1"/>
    <xf numFmtId="165" fontId="0" fillId="0" borderId="0" xfId="2" applyNumberFormat="1" applyFont="1" applyBorder="1"/>
    <xf numFmtId="9" fontId="0" fillId="0" borderId="0" xfId="3" applyFont="1" applyBorder="1"/>
    <xf numFmtId="166" fontId="1" fillId="0" borderId="0" xfId="1" applyNumberFormat="1"/>
    <xf numFmtId="9" fontId="0" fillId="0" borderId="0" xfId="3" applyFont="1" applyFill="1" applyBorder="1"/>
    <xf numFmtId="167" fontId="0" fillId="0" borderId="0" xfId="3" applyNumberFormat="1" applyFont="1" applyBorder="1"/>
    <xf numFmtId="165" fontId="0" fillId="0" borderId="0" xfId="2" applyNumberFormat="1" applyFont="1" applyFill="1" applyBorder="1"/>
    <xf numFmtId="165" fontId="1" fillId="0" borderId="0" xfId="2" applyNumberFormat="1" applyFont="1" applyBorder="1"/>
    <xf numFmtId="165" fontId="1" fillId="0" borderId="0" xfId="1" applyNumberFormat="1" applyAlignment="1">
      <alignment horizontal="center"/>
    </xf>
    <xf numFmtId="10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43" fontId="1" fillId="0" borderId="0" xfId="1" applyNumberFormat="1" applyAlignment="1">
      <alignment vertical="center"/>
    </xf>
    <xf numFmtId="1" fontId="0" fillId="0" borderId="0" xfId="3" applyNumberFormat="1" applyFont="1" applyBorder="1"/>
    <xf numFmtId="8" fontId="0" fillId="0" borderId="0" xfId="0" applyNumberFormat="1"/>
    <xf numFmtId="0" fontId="1" fillId="0" borderId="1" xfId="1" applyBorder="1"/>
    <xf numFmtId="0" fontId="1" fillId="0" borderId="2" xfId="1" applyBorder="1"/>
    <xf numFmtId="0" fontId="1" fillId="0" borderId="4" xfId="1" applyBorder="1"/>
    <xf numFmtId="0" fontId="1" fillId="0" borderId="0" xfId="1"/>
  </cellXfs>
  <cellStyles count="4">
    <cellStyle name="Comma 2" xfId="2" xr:uid="{46D79C42-FA88-4D28-9DAE-5BDB55E4A689}"/>
    <cellStyle name="Normal" xfId="0" builtinId="0"/>
    <cellStyle name="Normal 2" xfId="1" xr:uid="{C4F7B1AA-63D3-4028-8EDA-F3111E05DC22}"/>
    <cellStyle name="Percent 2" xfId="3" xr:uid="{6F122B80-E6BA-4D5C-A840-2A6801BFAA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130F-0C4A-4581-9259-B0FAD93ECF52}">
  <dimension ref="A1:K65"/>
  <sheetViews>
    <sheetView tabSelected="1" topLeftCell="A42" workbookViewId="0">
      <selection activeCell="D62" sqref="D62"/>
    </sheetView>
  </sheetViews>
  <sheetFormatPr defaultRowHeight="14.25" x14ac:dyDescent="0.45"/>
  <cols>
    <col min="1" max="1" width="41.19921875" style="2" customWidth="1"/>
    <col min="2" max="2" width="2.796875" style="2" customWidth="1"/>
    <col min="3" max="6" width="13.796875" style="2" customWidth="1"/>
    <col min="7" max="7" width="13.33203125" style="2" customWidth="1"/>
    <col min="8" max="8" width="13.796875" style="2" customWidth="1"/>
    <col min="9" max="9" width="2.19921875" style="2" customWidth="1"/>
    <col min="10" max="10" width="8.796875" style="2" customWidth="1"/>
    <col min="11" max="11" width="10.1328125" bestFit="1" customWidth="1"/>
    <col min="12" max="12" width="14.1328125" customWidth="1"/>
  </cols>
  <sheetData>
    <row r="1" spans="1:8" ht="15.4" x14ac:dyDescent="0.45">
      <c r="A1" s="1"/>
      <c r="B1" s="1"/>
    </row>
    <row r="2" spans="1:8" ht="15.4" x14ac:dyDescent="0.45">
      <c r="A2" s="3"/>
      <c r="B2" s="3"/>
    </row>
    <row r="3" spans="1:8" ht="15.4" x14ac:dyDescent="0.45">
      <c r="A3" s="1"/>
      <c r="B3" s="1"/>
    </row>
    <row r="4" spans="1:8" ht="14.65" thickBot="1" x14ac:dyDescent="0.5"/>
    <row r="5" spans="1:8" x14ac:dyDescent="0.45">
      <c r="A5" s="4" t="s">
        <v>0</v>
      </c>
      <c r="B5" s="5"/>
      <c r="C5" s="6">
        <v>600000</v>
      </c>
      <c r="E5" s="58" t="s">
        <v>1</v>
      </c>
      <c r="F5" s="59"/>
      <c r="G5" s="5"/>
      <c r="H5" s="7">
        <v>50000000</v>
      </c>
    </row>
    <row r="6" spans="1:8" x14ac:dyDescent="0.45">
      <c r="A6" s="8" t="s">
        <v>2</v>
      </c>
      <c r="C6" s="9"/>
      <c r="E6" s="60" t="s">
        <v>3</v>
      </c>
      <c r="F6" s="61"/>
      <c r="H6" s="10">
        <v>4000000</v>
      </c>
    </row>
    <row r="7" spans="1:8" x14ac:dyDescent="0.45">
      <c r="A7" s="8" t="s">
        <v>4</v>
      </c>
      <c r="C7" s="11">
        <v>5</v>
      </c>
      <c r="E7" s="8" t="s">
        <v>5</v>
      </c>
      <c r="H7" s="9">
        <v>0.01</v>
      </c>
    </row>
    <row r="8" spans="1:8" x14ac:dyDescent="0.45">
      <c r="A8" s="8" t="s">
        <v>6</v>
      </c>
      <c r="C8" s="9"/>
      <c r="E8" s="8" t="s">
        <v>7</v>
      </c>
      <c r="H8" s="10">
        <v>60000</v>
      </c>
    </row>
    <row r="9" spans="1:8" x14ac:dyDescent="0.45">
      <c r="A9" s="8" t="s">
        <v>8</v>
      </c>
      <c r="C9" s="12">
        <v>1.8</v>
      </c>
      <c r="E9" s="8" t="s">
        <v>9</v>
      </c>
      <c r="H9" s="13">
        <v>45</v>
      </c>
    </row>
    <row r="10" spans="1:8" x14ac:dyDescent="0.45">
      <c r="A10" s="8" t="s">
        <v>10</v>
      </c>
      <c r="C10" s="9"/>
      <c r="E10" s="8" t="s">
        <v>11</v>
      </c>
      <c r="H10" s="13">
        <v>36</v>
      </c>
    </row>
    <row r="11" spans="1:8" x14ac:dyDescent="0.45">
      <c r="A11" s="8" t="s">
        <v>12</v>
      </c>
      <c r="C11" s="11">
        <v>180000</v>
      </c>
      <c r="E11" s="8" t="s">
        <v>13</v>
      </c>
      <c r="H11" s="13">
        <v>5</v>
      </c>
    </row>
    <row r="12" spans="1:8" x14ac:dyDescent="0.45">
      <c r="A12" s="8" t="s">
        <v>14</v>
      </c>
      <c r="C12" s="14"/>
      <c r="E12" s="8" t="s">
        <v>15</v>
      </c>
      <c r="H12" s="15">
        <v>0.182</v>
      </c>
    </row>
    <row r="13" spans="1:8" x14ac:dyDescent="0.45">
      <c r="A13" s="8" t="s">
        <v>16</v>
      </c>
      <c r="C13" s="11">
        <v>50000</v>
      </c>
      <c r="E13" s="8" t="s">
        <v>17</v>
      </c>
      <c r="H13" s="9">
        <v>0.3</v>
      </c>
    </row>
    <row r="14" spans="1:8" ht="14.65" thickBot="1" x14ac:dyDescent="0.5">
      <c r="A14" s="16" t="s">
        <v>18</v>
      </c>
      <c r="B14" s="17"/>
      <c r="C14" s="18"/>
      <c r="E14" s="16" t="s">
        <v>19</v>
      </c>
      <c r="F14" s="17"/>
      <c r="G14" s="17"/>
      <c r="H14" s="19">
        <v>800000</v>
      </c>
    </row>
    <row r="16" spans="1:8" ht="14.65" thickBot="1" x14ac:dyDescent="0.5">
      <c r="A16" s="20" t="s">
        <v>20</v>
      </c>
      <c r="B16" s="20"/>
      <c r="C16" s="20">
        <v>0</v>
      </c>
      <c r="D16" s="20">
        <v>1</v>
      </c>
      <c r="E16" s="20">
        <v>2</v>
      </c>
      <c r="F16" s="20">
        <v>3</v>
      </c>
      <c r="G16" s="20">
        <v>4</v>
      </c>
      <c r="H16" s="20">
        <v>5</v>
      </c>
    </row>
    <row r="17" spans="1:9" x14ac:dyDescent="0.45">
      <c r="A17" s="21"/>
      <c r="B17" s="21"/>
      <c r="C17" s="21"/>
      <c r="D17" s="21"/>
      <c r="E17" s="21"/>
      <c r="F17" s="21"/>
      <c r="G17" s="21"/>
      <c r="H17" s="21"/>
    </row>
    <row r="18" spans="1:9" x14ac:dyDescent="0.45">
      <c r="A18" s="2" t="s">
        <v>1</v>
      </c>
      <c r="C18" s="22">
        <f>-H5</f>
        <v>-50000000</v>
      </c>
      <c r="D18" s="21"/>
      <c r="E18" s="21"/>
      <c r="F18" s="21"/>
      <c r="G18" s="21"/>
      <c r="H18" s="21"/>
    </row>
    <row r="19" spans="1:9" x14ac:dyDescent="0.45">
      <c r="A19" s="2" t="s">
        <v>3</v>
      </c>
      <c r="D19" s="21"/>
      <c r="E19" s="21"/>
      <c r="F19" s="21"/>
      <c r="G19" s="21"/>
      <c r="H19" s="22">
        <f>H6</f>
        <v>4000000</v>
      </c>
    </row>
    <row r="20" spans="1:9" x14ac:dyDescent="0.45">
      <c r="A20" s="2" t="s">
        <v>52</v>
      </c>
      <c r="D20" s="21"/>
      <c r="E20" s="21"/>
      <c r="F20" s="21"/>
      <c r="G20" s="21"/>
      <c r="H20" s="23">
        <v>-1200000</v>
      </c>
    </row>
    <row r="21" spans="1:9" x14ac:dyDescent="0.45">
      <c r="D21" s="21"/>
      <c r="E21" s="21"/>
      <c r="F21" s="21"/>
      <c r="G21" s="21"/>
      <c r="H21" s="41">
        <f>H19+H20</f>
        <v>2800000</v>
      </c>
    </row>
    <row r="22" spans="1:9" x14ac:dyDescent="0.45">
      <c r="D22" s="21"/>
      <c r="E22" s="21"/>
      <c r="F22" s="21"/>
      <c r="G22" s="21"/>
      <c r="H22" s="22"/>
    </row>
    <row r="23" spans="1:9" x14ac:dyDescent="0.45">
      <c r="A23" s="2" t="s">
        <v>21</v>
      </c>
      <c r="D23" s="21"/>
      <c r="E23" s="21"/>
      <c r="F23" s="21"/>
      <c r="G23" s="21"/>
      <c r="H23" s="22"/>
    </row>
    <row r="24" spans="1:9" x14ac:dyDescent="0.45">
      <c r="A24" s="2" t="s">
        <v>22</v>
      </c>
      <c r="C24" s="24">
        <f>$C$5*12*$H$9*$C$7/365</f>
        <v>4438356.1643835614</v>
      </c>
      <c r="D24" s="24">
        <f t="shared" ref="D24:G24" si="0">$C$5*12*$H$9*$C$7/365</f>
        <v>4438356.1643835614</v>
      </c>
      <c r="E24" s="24">
        <f t="shared" si="0"/>
        <v>4438356.1643835614</v>
      </c>
      <c r="F24" s="24">
        <f t="shared" si="0"/>
        <v>4438356.1643835614</v>
      </c>
      <c r="G24" s="24">
        <f t="shared" si="0"/>
        <v>4438356.1643835614</v>
      </c>
      <c r="H24" s="24"/>
    </row>
    <row r="25" spans="1:9" x14ac:dyDescent="0.45">
      <c r="A25" s="2" t="s">
        <v>23</v>
      </c>
      <c r="C25" s="24">
        <f>$C$5*$C$9</f>
        <v>1080000</v>
      </c>
      <c r="D25" s="24">
        <f t="shared" ref="D25:G25" si="1">$C$5*$C$9</f>
        <v>1080000</v>
      </c>
      <c r="E25" s="24">
        <f t="shared" si="1"/>
        <v>1080000</v>
      </c>
      <c r="F25" s="24">
        <f t="shared" si="1"/>
        <v>1080000</v>
      </c>
      <c r="G25" s="24">
        <f t="shared" si="1"/>
        <v>1080000</v>
      </c>
      <c r="H25" s="22"/>
    </row>
    <row r="26" spans="1:9" x14ac:dyDescent="0.45">
      <c r="A26" s="2" t="s">
        <v>24</v>
      </c>
      <c r="C26" s="25">
        <f>36*$C$5*12*$C$9/365</f>
        <v>1278246.5753424657</v>
      </c>
      <c r="D26" s="25">
        <f t="shared" ref="D26:G26" si="2">36*$C$5*12*$C$9/365</f>
        <v>1278246.5753424657</v>
      </c>
      <c r="E26" s="25">
        <f t="shared" si="2"/>
        <v>1278246.5753424657</v>
      </c>
      <c r="F26" s="25">
        <f t="shared" si="2"/>
        <v>1278246.5753424657</v>
      </c>
      <c r="G26" s="25">
        <f t="shared" si="2"/>
        <v>1278246.5753424657</v>
      </c>
      <c r="H26" s="23"/>
    </row>
    <row r="27" spans="1:9" x14ac:dyDescent="0.45">
      <c r="H27" s="22"/>
    </row>
    <row r="28" spans="1:9" x14ac:dyDescent="0.45">
      <c r="C28" s="22">
        <f>C24+C25-C26</f>
        <v>4240109.5890410952</v>
      </c>
      <c r="D28" s="22">
        <f t="shared" ref="D28:G28" si="3">D24+D25-D26</f>
        <v>4240109.5890410952</v>
      </c>
      <c r="E28" s="22">
        <f t="shared" si="3"/>
        <v>4240109.5890410952</v>
      </c>
      <c r="F28" s="22">
        <f t="shared" si="3"/>
        <v>4240109.5890410952</v>
      </c>
      <c r="G28" s="22">
        <f t="shared" si="3"/>
        <v>4240109.5890410952</v>
      </c>
      <c r="H28" s="22"/>
    </row>
    <row r="29" spans="1:9" x14ac:dyDescent="0.45">
      <c r="A29" s="2" t="s">
        <v>25</v>
      </c>
      <c r="C29" s="22"/>
      <c r="D29" s="22">
        <f>D28-C28</f>
        <v>0</v>
      </c>
      <c r="E29" s="22">
        <f t="shared" ref="E29:H29" si="4">E28-D28</f>
        <v>0</v>
      </c>
      <c r="F29" s="22">
        <f t="shared" si="4"/>
        <v>0</v>
      </c>
      <c r="G29" s="22">
        <f t="shared" si="4"/>
        <v>0</v>
      </c>
      <c r="H29" s="22">
        <f t="shared" si="4"/>
        <v>-4240109.5890410952</v>
      </c>
    </row>
    <row r="31" spans="1:9" x14ac:dyDescent="0.45">
      <c r="A31" s="2" t="s">
        <v>26</v>
      </c>
      <c r="D31" s="2">
        <f>$C$5*12</f>
        <v>7200000</v>
      </c>
      <c r="E31" s="2">
        <f t="shared" ref="E31:H31" si="5">$C$5*12</f>
        <v>7200000</v>
      </c>
      <c r="F31" s="2">
        <f t="shared" si="5"/>
        <v>7200000</v>
      </c>
      <c r="G31" s="2">
        <f t="shared" si="5"/>
        <v>7200000</v>
      </c>
      <c r="H31" s="2">
        <f t="shared" si="5"/>
        <v>7200000</v>
      </c>
    </row>
    <row r="32" spans="1:9" x14ac:dyDescent="0.45">
      <c r="A32" s="2" t="s">
        <v>27</v>
      </c>
      <c r="D32" s="2">
        <f>D31*C7</f>
        <v>36000000</v>
      </c>
      <c r="E32" s="2">
        <f>E31*$C$7</f>
        <v>36000000</v>
      </c>
      <c r="F32" s="2">
        <f t="shared" ref="F32:H32" si="6">F31*$C$7</f>
        <v>36000000</v>
      </c>
      <c r="G32" s="2">
        <f t="shared" si="6"/>
        <v>36000000</v>
      </c>
      <c r="H32" s="2">
        <f t="shared" si="6"/>
        <v>36000000</v>
      </c>
      <c r="I32" s="26"/>
    </row>
    <row r="34" spans="1:8" x14ac:dyDescent="0.45">
      <c r="A34" s="2" t="s">
        <v>28</v>
      </c>
    </row>
    <row r="35" spans="1:8" x14ac:dyDescent="0.45">
      <c r="A35" s="2" t="s">
        <v>29</v>
      </c>
      <c r="D35" s="2">
        <f>$C$9*$C$5*12</f>
        <v>12960000</v>
      </c>
      <c r="E35" s="2">
        <f t="shared" ref="E35:F35" si="7">$C$9*$C$5*12</f>
        <v>12960000</v>
      </c>
      <c r="F35" s="2">
        <f t="shared" si="7"/>
        <v>12960000</v>
      </c>
      <c r="G35" s="2">
        <f>($C$9*$C$5*12)</f>
        <v>12960000</v>
      </c>
      <c r="H35" s="2">
        <f>($C$9*$C$5*12)</f>
        <v>12960000</v>
      </c>
    </row>
    <row r="36" spans="1:8" x14ac:dyDescent="0.45">
      <c r="A36" s="2" t="s">
        <v>30</v>
      </c>
      <c r="D36" s="2">
        <f>$C$11*12</f>
        <v>2160000</v>
      </c>
      <c r="E36" s="2">
        <f t="shared" ref="E36:H36" si="8">$C$11*12</f>
        <v>2160000</v>
      </c>
      <c r="F36" s="2">
        <f t="shared" si="8"/>
        <v>2160000</v>
      </c>
      <c r="G36" s="2">
        <f t="shared" si="8"/>
        <v>2160000</v>
      </c>
      <c r="H36" s="2">
        <f t="shared" si="8"/>
        <v>2160000</v>
      </c>
    </row>
    <row r="37" spans="1:8" x14ac:dyDescent="0.45">
      <c r="A37" s="2" t="s">
        <v>31</v>
      </c>
      <c r="D37" s="2">
        <f>$C$13*12</f>
        <v>600000</v>
      </c>
      <c r="E37" s="2">
        <f t="shared" ref="E37:H37" si="9">$C$13*12</f>
        <v>600000</v>
      </c>
      <c r="F37" s="2">
        <f t="shared" si="9"/>
        <v>600000</v>
      </c>
      <c r="G37" s="2">
        <f t="shared" si="9"/>
        <v>600000</v>
      </c>
      <c r="H37" s="2">
        <f t="shared" si="9"/>
        <v>600000</v>
      </c>
    </row>
    <row r="38" spans="1:8" x14ac:dyDescent="0.45">
      <c r="A38" s="2" t="s">
        <v>32</v>
      </c>
      <c r="D38" s="22">
        <f>$H$8</f>
        <v>60000</v>
      </c>
      <c r="E38" s="22">
        <f t="shared" ref="E38:H38" si="10">$H$8</f>
        <v>60000</v>
      </c>
      <c r="F38" s="22">
        <f t="shared" si="10"/>
        <v>60000</v>
      </c>
      <c r="G38" s="22">
        <f t="shared" si="10"/>
        <v>60000</v>
      </c>
      <c r="H38" s="22">
        <f t="shared" si="10"/>
        <v>60000</v>
      </c>
    </row>
    <row r="39" spans="1:8" x14ac:dyDescent="0.45">
      <c r="A39" s="2" t="s">
        <v>33</v>
      </c>
      <c r="D39" s="22">
        <v>10000000</v>
      </c>
      <c r="E39" s="22">
        <v>10000000</v>
      </c>
      <c r="F39" s="22">
        <v>10000000</v>
      </c>
      <c r="G39" s="22">
        <v>10000000</v>
      </c>
      <c r="H39" s="22">
        <v>10000000</v>
      </c>
    </row>
    <row r="40" spans="1:8" x14ac:dyDescent="0.45">
      <c r="A40" s="2" t="s">
        <v>34</v>
      </c>
      <c r="D40" s="2">
        <f>300000</f>
        <v>300000</v>
      </c>
      <c r="E40" s="2">
        <f t="shared" ref="E40:H40" si="11">300000</f>
        <v>300000</v>
      </c>
      <c r="F40" s="2">
        <f t="shared" si="11"/>
        <v>300000</v>
      </c>
      <c r="G40" s="2">
        <f t="shared" si="11"/>
        <v>300000</v>
      </c>
      <c r="H40" s="2">
        <f t="shared" si="11"/>
        <v>300000</v>
      </c>
    </row>
    <row r="41" spans="1:8" x14ac:dyDescent="0.45">
      <c r="A41" s="2" t="s">
        <v>35</v>
      </c>
      <c r="D41" s="2">
        <f>D32*1%</f>
        <v>360000</v>
      </c>
      <c r="E41" s="2">
        <f>E32*1%</f>
        <v>360000</v>
      </c>
      <c r="F41" s="2">
        <f>F32*1%</f>
        <v>360000</v>
      </c>
      <c r="G41" s="2">
        <f>G32*1%</f>
        <v>360000</v>
      </c>
      <c r="H41" s="2">
        <f>H32*1%</f>
        <v>360000</v>
      </c>
    </row>
    <row r="42" spans="1:8" x14ac:dyDescent="0.45">
      <c r="A42" s="2" t="s">
        <v>36</v>
      </c>
      <c r="D42" s="2">
        <f>SUM(D35:D41)</f>
        <v>26440000</v>
      </c>
      <c r="E42" s="2">
        <f t="shared" ref="E42:H42" si="12">SUM(E35:E41)</f>
        <v>26440000</v>
      </c>
      <c r="F42" s="2">
        <f t="shared" si="12"/>
        <v>26440000</v>
      </c>
      <c r="G42" s="2">
        <f t="shared" si="12"/>
        <v>26440000</v>
      </c>
      <c r="H42" s="2">
        <f t="shared" si="12"/>
        <v>26440000</v>
      </c>
    </row>
    <row r="43" spans="1:8" x14ac:dyDescent="0.45">
      <c r="D43" s="22"/>
      <c r="E43" s="22"/>
      <c r="F43" s="22"/>
      <c r="G43" s="22"/>
      <c r="H43" s="22"/>
    </row>
    <row r="44" spans="1:8" x14ac:dyDescent="0.45">
      <c r="A44" s="2" t="s">
        <v>37</v>
      </c>
      <c r="D44" s="2">
        <f>D32-D42</f>
        <v>9560000</v>
      </c>
      <c r="E44" s="2">
        <f>E32-E42</f>
        <v>9560000</v>
      </c>
      <c r="F44" s="2">
        <f>F32-F42</f>
        <v>9560000</v>
      </c>
      <c r="G44" s="2">
        <f>G32-G42</f>
        <v>9560000</v>
      </c>
      <c r="H44" s="2">
        <f>H32-H42</f>
        <v>9560000</v>
      </c>
    </row>
    <row r="46" spans="1:8" x14ac:dyDescent="0.45">
      <c r="A46" s="2" t="s">
        <v>38</v>
      </c>
      <c r="D46" s="23">
        <f>D44*0.3</f>
        <v>2868000</v>
      </c>
      <c r="E46" s="23">
        <f t="shared" ref="E46:H46" si="13">E44*0.3</f>
        <v>2868000</v>
      </c>
      <c r="F46" s="23">
        <f t="shared" si="13"/>
        <v>2868000</v>
      </c>
      <c r="G46" s="23">
        <f t="shared" si="13"/>
        <v>2868000</v>
      </c>
      <c r="H46" s="23">
        <f t="shared" si="13"/>
        <v>2868000</v>
      </c>
    </row>
    <row r="47" spans="1:8" x14ac:dyDescent="0.45">
      <c r="D47" s="22"/>
      <c r="E47" s="22"/>
      <c r="F47" s="22"/>
      <c r="G47" s="22"/>
      <c r="H47" s="22"/>
    </row>
    <row r="48" spans="1:8" x14ac:dyDescent="0.45">
      <c r="A48" s="2" t="s">
        <v>39</v>
      </c>
      <c r="D48" s="22">
        <f>D44-D46</f>
        <v>6692000</v>
      </c>
      <c r="E48" s="22">
        <f t="shared" ref="E48:H48" si="14">E44-E46</f>
        <v>6692000</v>
      </c>
      <c r="F48" s="22">
        <f t="shared" si="14"/>
        <v>6692000</v>
      </c>
      <c r="G48" s="22">
        <f>G44-G46</f>
        <v>6692000</v>
      </c>
      <c r="H48" s="22">
        <f t="shared" si="14"/>
        <v>6692000</v>
      </c>
    </row>
    <row r="49" spans="1:11" x14ac:dyDescent="0.45">
      <c r="D49" s="22"/>
      <c r="E49" s="22"/>
      <c r="F49" s="22"/>
      <c r="G49" s="22"/>
      <c r="H49" s="22"/>
    </row>
    <row r="50" spans="1:11" x14ac:dyDescent="0.45">
      <c r="A50" s="2" t="s">
        <v>40</v>
      </c>
    </row>
    <row r="51" spans="1:11" x14ac:dyDescent="0.45">
      <c r="A51" s="2" t="s">
        <v>41</v>
      </c>
      <c r="D51" s="22">
        <f>D39</f>
        <v>10000000</v>
      </c>
      <c r="E51" s="22">
        <f t="shared" ref="E51:H51" si="15">E39</f>
        <v>10000000</v>
      </c>
      <c r="F51" s="22">
        <f t="shared" si="15"/>
        <v>10000000</v>
      </c>
      <c r="G51" s="22">
        <f t="shared" si="15"/>
        <v>10000000</v>
      </c>
      <c r="H51" s="22">
        <f t="shared" si="15"/>
        <v>10000000</v>
      </c>
    </row>
    <row r="52" spans="1:11" x14ac:dyDescent="0.45">
      <c r="A52" s="2" t="s">
        <v>42</v>
      </c>
      <c r="D52" s="27">
        <f>$H$14</f>
        <v>800000</v>
      </c>
      <c r="E52" s="27">
        <f t="shared" ref="E52:H52" si="16">$H$14</f>
        <v>800000</v>
      </c>
      <c r="F52" s="27">
        <f t="shared" si="16"/>
        <v>800000</v>
      </c>
      <c r="G52" s="27">
        <f t="shared" si="16"/>
        <v>800000</v>
      </c>
      <c r="H52" s="27">
        <f t="shared" si="16"/>
        <v>800000</v>
      </c>
    </row>
    <row r="53" spans="1:11" x14ac:dyDescent="0.45">
      <c r="A53" s="2" t="s">
        <v>43</v>
      </c>
      <c r="D53" s="22">
        <f>D51-D52</f>
        <v>9200000</v>
      </c>
      <c r="E53" s="22">
        <f t="shared" ref="E53:H53" si="17">E51-E52</f>
        <v>9200000</v>
      </c>
      <c r="F53" s="22">
        <f t="shared" si="17"/>
        <v>9200000</v>
      </c>
      <c r="G53" s="22">
        <f t="shared" si="17"/>
        <v>9200000</v>
      </c>
      <c r="H53" s="22">
        <f t="shared" si="17"/>
        <v>9200000</v>
      </c>
      <c r="K53" s="42">
        <v>15892000</v>
      </c>
    </row>
    <row r="55" spans="1:11" x14ac:dyDescent="0.45">
      <c r="A55" s="29" t="s">
        <v>44</v>
      </c>
      <c r="B55" s="29"/>
      <c r="C55" s="30">
        <f>C18-C28</f>
        <v>-54240109.589041099</v>
      </c>
      <c r="D55" s="30">
        <f>D48+D53</f>
        <v>15892000</v>
      </c>
      <c r="E55" s="30">
        <f t="shared" ref="E55:H55" si="18">E48+E53</f>
        <v>15892000</v>
      </c>
      <c r="F55" s="30">
        <f t="shared" si="18"/>
        <v>15892000</v>
      </c>
      <c r="G55" s="30">
        <f t="shared" si="18"/>
        <v>15892000</v>
      </c>
      <c r="H55" s="30">
        <f>H48+H53+H21-H29</f>
        <v>22932109.589041095</v>
      </c>
    </row>
    <row r="57" spans="1:11" x14ac:dyDescent="0.45">
      <c r="A57" s="2" t="s">
        <v>45</v>
      </c>
      <c r="C57" s="28">
        <f>NPV(0.182,D55:H55)</f>
        <v>52524048.771324731</v>
      </c>
      <c r="D57" s="28"/>
      <c r="E57" s="28"/>
      <c r="F57" s="28"/>
      <c r="G57" s="28"/>
      <c r="H57" s="28"/>
    </row>
    <row r="58" spans="1:11" ht="14.65" thickBot="1" x14ac:dyDescent="0.5"/>
    <row r="59" spans="1:11" x14ac:dyDescent="0.45">
      <c r="A59" s="4" t="s">
        <v>46</v>
      </c>
      <c r="B59" s="5"/>
      <c r="C59" s="34"/>
      <c r="D59" s="37">
        <f>C57+C18-C28</f>
        <v>-1716060.8177163638</v>
      </c>
    </row>
    <row r="60" spans="1:11" x14ac:dyDescent="0.45">
      <c r="A60" s="8" t="s">
        <v>47</v>
      </c>
      <c r="C60" s="31"/>
      <c r="D60" s="38">
        <f>IRR(C55:H55)</f>
        <v>0.16858705103377836</v>
      </c>
    </row>
    <row r="61" spans="1:11" x14ac:dyDescent="0.45">
      <c r="A61" s="8" t="s">
        <v>48</v>
      </c>
      <c r="C61" s="32"/>
      <c r="D61" s="39"/>
    </row>
    <row r="62" spans="1:11" x14ac:dyDescent="0.45">
      <c r="A62" s="8" t="s">
        <v>49</v>
      </c>
      <c r="C62" s="33"/>
      <c r="D62" s="36" t="s">
        <v>51</v>
      </c>
    </row>
    <row r="63" spans="1:11" ht="14.65" thickBot="1" x14ac:dyDescent="0.5">
      <c r="A63" s="16" t="s">
        <v>50</v>
      </c>
      <c r="B63" s="17"/>
      <c r="C63" s="35"/>
      <c r="D63" s="40">
        <f>D57/-C55</f>
        <v>0</v>
      </c>
    </row>
    <row r="65" spans="3:7" x14ac:dyDescent="0.45">
      <c r="C65" s="22"/>
      <c r="D65" s="22"/>
      <c r="E65" s="22"/>
      <c r="F65" s="22"/>
      <c r="G65" s="22"/>
    </row>
  </sheetData>
  <mergeCells count="2">
    <mergeCell ref="E5:F5"/>
    <mergeCell ref="E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20B1-513B-407C-B21E-1F0CAFC60B38}">
  <dimension ref="A1:K65"/>
  <sheetViews>
    <sheetView workbookViewId="0">
      <selection activeCell="B22" sqref="B22"/>
    </sheetView>
  </sheetViews>
  <sheetFormatPr defaultRowHeight="14.25" x14ac:dyDescent="0.45"/>
  <cols>
    <col min="1" max="1" width="31" style="2" customWidth="1"/>
    <col min="2" max="2" width="20.3984375" style="2" customWidth="1"/>
    <col min="3" max="6" width="13.796875" style="2" customWidth="1"/>
    <col min="7" max="7" width="13.33203125" style="2" customWidth="1"/>
    <col min="8" max="8" width="13.796875" style="2" customWidth="1"/>
    <col min="9" max="9" width="2.19921875" style="2" customWidth="1"/>
    <col min="10" max="10" width="8.796875" style="2" customWidth="1"/>
    <col min="11" max="11" width="10.1328125" bestFit="1" customWidth="1"/>
    <col min="12" max="12" width="14.1328125" customWidth="1"/>
  </cols>
  <sheetData>
    <row r="1" spans="1:8" ht="15.4" x14ac:dyDescent="0.45">
      <c r="A1" s="1"/>
      <c r="B1" s="1"/>
    </row>
    <row r="2" spans="1:8" ht="15.4" x14ac:dyDescent="0.45">
      <c r="A2" s="3" t="s">
        <v>53</v>
      </c>
      <c r="B2" s="43">
        <v>80000</v>
      </c>
      <c r="C2" s="43"/>
    </row>
    <row r="3" spans="1:8" ht="15.4" x14ac:dyDescent="0.45">
      <c r="A3" s="1"/>
      <c r="B3" s="1"/>
    </row>
    <row r="4" spans="1:8" x14ac:dyDescent="0.45">
      <c r="A4" s="2" t="s">
        <v>54</v>
      </c>
      <c r="B4" s="43">
        <v>16000</v>
      </c>
    </row>
    <row r="5" spans="1:8" x14ac:dyDescent="0.45">
      <c r="C5" s="43"/>
      <c r="E5" s="61"/>
      <c r="F5" s="61"/>
      <c r="H5" s="44"/>
    </row>
    <row r="6" spans="1:8" x14ac:dyDescent="0.45">
      <c r="C6" s="45"/>
      <c r="E6" s="61"/>
      <c r="F6" s="61"/>
      <c r="H6" s="44"/>
    </row>
    <row r="7" spans="1:8" x14ac:dyDescent="0.45">
      <c r="C7" s="43"/>
      <c r="H7" s="45"/>
    </row>
    <row r="8" spans="1:8" x14ac:dyDescent="0.45">
      <c r="B8" s="2" t="s">
        <v>60</v>
      </c>
      <c r="C8" s="45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44"/>
    </row>
    <row r="9" spans="1:8" x14ac:dyDescent="0.45">
      <c r="C9" s="46"/>
    </row>
    <row r="10" spans="1:8" x14ac:dyDescent="0.45">
      <c r="B10" s="43">
        <f>-B2</f>
        <v>-80000</v>
      </c>
      <c r="C10" s="56">
        <v>22000</v>
      </c>
      <c r="D10" s="56">
        <v>22000</v>
      </c>
      <c r="E10" s="56">
        <v>22000</v>
      </c>
      <c r="F10" s="56">
        <v>22000</v>
      </c>
      <c r="G10" s="56">
        <v>22000</v>
      </c>
    </row>
    <row r="11" spans="1:8" x14ac:dyDescent="0.45">
      <c r="C11" s="43">
        <f>-16000</f>
        <v>-16000</v>
      </c>
      <c r="D11" s="43">
        <f t="shared" ref="D11:G11" si="0">-16000</f>
        <v>-16000</v>
      </c>
      <c r="E11" s="43">
        <f t="shared" si="0"/>
        <v>-16000</v>
      </c>
      <c r="F11" s="43">
        <f t="shared" si="0"/>
        <v>-16000</v>
      </c>
      <c r="G11" s="43">
        <f t="shared" si="0"/>
        <v>-16000</v>
      </c>
    </row>
    <row r="12" spans="1:8" x14ac:dyDescent="0.45">
      <c r="C12" s="47"/>
      <c r="H12" s="48"/>
    </row>
    <row r="13" spans="1:8" x14ac:dyDescent="0.45">
      <c r="C13" s="43"/>
      <c r="H13" s="45"/>
    </row>
    <row r="14" spans="1:8" x14ac:dyDescent="0.45">
      <c r="C14" s="47"/>
      <c r="H14" s="49"/>
    </row>
    <row r="15" spans="1:8" x14ac:dyDescent="0.45">
      <c r="A15" s="2" t="s">
        <v>61</v>
      </c>
      <c r="C15" s="2">
        <v>6000</v>
      </c>
      <c r="D15" s="2">
        <v>6000</v>
      </c>
      <c r="E15" s="2">
        <v>6000</v>
      </c>
      <c r="F15" s="2">
        <v>6000</v>
      </c>
      <c r="G15" s="2">
        <v>6000</v>
      </c>
    </row>
    <row r="16" spans="1:8" x14ac:dyDescent="0.45">
      <c r="A16" s="29" t="s">
        <v>62</v>
      </c>
      <c r="B16" s="29"/>
      <c r="C16" s="29">
        <f>0.21*C15</f>
        <v>1260</v>
      </c>
      <c r="D16" s="29">
        <f t="shared" ref="D16:G16" si="1">0.21*D15</f>
        <v>1260</v>
      </c>
      <c r="E16" s="29">
        <f t="shared" si="1"/>
        <v>1260</v>
      </c>
      <c r="F16" s="29">
        <f t="shared" si="1"/>
        <v>1260</v>
      </c>
      <c r="G16" s="29">
        <f t="shared" si="1"/>
        <v>1260</v>
      </c>
      <c r="H16" s="29"/>
    </row>
    <row r="17" spans="1:9" x14ac:dyDescent="0.45">
      <c r="A17" s="21" t="s">
        <v>63</v>
      </c>
      <c r="B17" s="21"/>
      <c r="C17" s="21">
        <f>C15-C16</f>
        <v>4740</v>
      </c>
      <c r="D17" s="21">
        <f t="shared" ref="D17:G17" si="2">D15-D16</f>
        <v>4740</v>
      </c>
      <c r="E17" s="21">
        <f t="shared" si="2"/>
        <v>4740</v>
      </c>
      <c r="F17" s="21">
        <f t="shared" si="2"/>
        <v>4740</v>
      </c>
      <c r="G17" s="21">
        <f t="shared" si="2"/>
        <v>4740</v>
      </c>
      <c r="H17" s="21"/>
    </row>
    <row r="18" spans="1:9" x14ac:dyDescent="0.45">
      <c r="C18" s="22"/>
      <c r="D18" s="21"/>
      <c r="E18" s="21"/>
      <c r="F18" s="21"/>
      <c r="G18" s="21"/>
      <c r="H18" s="21"/>
    </row>
    <row r="19" spans="1:9" x14ac:dyDescent="0.45">
      <c r="A19" s="2" t="s">
        <v>64</v>
      </c>
      <c r="C19" s="43">
        <f>C17-C11</f>
        <v>20740</v>
      </c>
      <c r="D19" s="43">
        <f t="shared" ref="D19:F19" si="3">D17-D11</f>
        <v>20740</v>
      </c>
      <c r="E19" s="43">
        <f t="shared" si="3"/>
        <v>20740</v>
      </c>
      <c r="F19" s="43">
        <f t="shared" si="3"/>
        <v>20740</v>
      </c>
      <c r="G19" s="43">
        <f>G17-G11+15800</f>
        <v>36540</v>
      </c>
      <c r="H19" s="22"/>
    </row>
    <row r="20" spans="1:9" x14ac:dyDescent="0.45">
      <c r="D20" s="21"/>
      <c r="E20" s="21"/>
      <c r="F20" s="21"/>
      <c r="G20" s="21"/>
      <c r="H20" s="22"/>
    </row>
    <row r="21" spans="1:9" x14ac:dyDescent="0.45">
      <c r="D21" s="21"/>
      <c r="E21" s="21"/>
      <c r="F21" s="21"/>
      <c r="G21" s="21"/>
      <c r="H21" s="22"/>
    </row>
    <row r="22" spans="1:9" x14ac:dyDescent="0.45">
      <c r="A22" s="2" t="s">
        <v>79</v>
      </c>
      <c r="B22" s="43">
        <f>NPV(0.1,C19:G19)-B2</f>
        <v>8431.4745018658432</v>
      </c>
      <c r="D22" s="21"/>
      <c r="E22" s="21"/>
      <c r="F22" s="21"/>
      <c r="G22" s="21"/>
      <c r="H22" s="22"/>
    </row>
    <row r="23" spans="1:9" x14ac:dyDescent="0.45">
      <c r="D23" s="21"/>
      <c r="E23" s="21"/>
      <c r="F23" s="21"/>
      <c r="G23" s="21"/>
      <c r="H23" s="22"/>
    </row>
    <row r="24" spans="1:9" x14ac:dyDescent="0.45">
      <c r="C24" s="24"/>
      <c r="D24" s="24"/>
      <c r="E24" s="24"/>
      <c r="F24" s="24"/>
      <c r="G24" s="24"/>
      <c r="H24" s="24"/>
    </row>
    <row r="25" spans="1:9" x14ac:dyDescent="0.45">
      <c r="C25" s="24"/>
      <c r="D25" s="24"/>
      <c r="E25" s="24"/>
      <c r="F25" s="24"/>
      <c r="G25" s="24"/>
      <c r="H25" s="22"/>
    </row>
    <row r="26" spans="1:9" x14ac:dyDescent="0.45">
      <c r="C26" s="24"/>
      <c r="D26" s="24"/>
      <c r="E26" s="24"/>
      <c r="F26" s="24"/>
      <c r="G26" s="24"/>
      <c r="H26" s="22"/>
    </row>
    <row r="27" spans="1:9" x14ac:dyDescent="0.45">
      <c r="H27" s="22"/>
    </row>
    <row r="28" spans="1:9" x14ac:dyDescent="0.45">
      <c r="C28" s="22"/>
      <c r="D28" s="22"/>
      <c r="E28" s="22"/>
      <c r="F28" s="22"/>
      <c r="G28" s="22"/>
      <c r="H28" s="22"/>
    </row>
    <row r="29" spans="1:9" x14ac:dyDescent="0.45">
      <c r="C29" s="22"/>
      <c r="D29" s="22"/>
      <c r="E29" s="22"/>
      <c r="F29" s="22"/>
      <c r="G29" s="22"/>
      <c r="H29" s="22"/>
    </row>
    <row r="32" spans="1:9" x14ac:dyDescent="0.45">
      <c r="I32" s="26"/>
    </row>
    <row r="38" spans="4:8" x14ac:dyDescent="0.45">
      <c r="D38" s="22"/>
      <c r="E38" s="22"/>
      <c r="F38" s="22"/>
      <c r="G38" s="22"/>
      <c r="H38" s="22"/>
    </row>
    <row r="39" spans="4:8" x14ac:dyDescent="0.45">
      <c r="D39" s="22"/>
      <c r="E39" s="22"/>
      <c r="F39" s="22"/>
      <c r="G39" s="22"/>
      <c r="H39" s="22"/>
    </row>
    <row r="43" spans="4:8" x14ac:dyDescent="0.45">
      <c r="D43" s="22"/>
      <c r="E43" s="22"/>
      <c r="F43" s="22"/>
      <c r="G43" s="22"/>
      <c r="H43" s="22"/>
    </row>
    <row r="46" spans="4:8" x14ac:dyDescent="0.45">
      <c r="D46" s="22"/>
      <c r="E46" s="22"/>
      <c r="F46" s="22"/>
      <c r="G46" s="22"/>
      <c r="H46" s="22"/>
    </row>
    <row r="47" spans="4:8" x14ac:dyDescent="0.45">
      <c r="D47" s="22"/>
      <c r="E47" s="22"/>
      <c r="F47" s="22"/>
      <c r="G47" s="22"/>
      <c r="H47" s="22"/>
    </row>
    <row r="48" spans="4:8" x14ac:dyDescent="0.45">
      <c r="D48" s="22"/>
      <c r="E48" s="22"/>
      <c r="F48" s="22"/>
      <c r="G48" s="22"/>
      <c r="H48" s="22"/>
    </row>
    <row r="49" spans="1:11" x14ac:dyDescent="0.45">
      <c r="D49" s="22"/>
      <c r="E49" s="22"/>
      <c r="F49" s="22"/>
      <c r="G49" s="22"/>
      <c r="H49" s="22"/>
    </row>
    <row r="51" spans="1:11" x14ac:dyDescent="0.45">
      <c r="D51" s="22"/>
      <c r="E51" s="22"/>
      <c r="F51" s="22"/>
      <c r="G51" s="22"/>
      <c r="H51" s="22"/>
    </row>
    <row r="52" spans="1:11" x14ac:dyDescent="0.45">
      <c r="D52" s="50"/>
      <c r="E52" s="50"/>
      <c r="F52" s="50"/>
      <c r="G52" s="50"/>
      <c r="H52" s="50"/>
    </row>
    <row r="53" spans="1:11" x14ac:dyDescent="0.45">
      <c r="D53" s="22"/>
      <c r="E53" s="22"/>
      <c r="F53" s="22"/>
      <c r="G53" s="22"/>
      <c r="H53" s="22"/>
      <c r="K53" s="42"/>
    </row>
    <row r="55" spans="1:11" x14ac:dyDescent="0.45">
      <c r="A55" s="29"/>
      <c r="B55" s="29"/>
      <c r="C55" s="30"/>
      <c r="D55" s="30"/>
      <c r="E55" s="30"/>
      <c r="F55" s="30"/>
      <c r="G55" s="30"/>
      <c r="H55" s="30"/>
    </row>
    <row r="57" spans="1:11" x14ac:dyDescent="0.45">
      <c r="C57" s="44"/>
      <c r="D57" s="44"/>
      <c r="E57" s="44"/>
      <c r="F57" s="44"/>
      <c r="G57" s="44"/>
      <c r="H57" s="44"/>
    </row>
    <row r="59" spans="1:11" x14ac:dyDescent="0.45">
      <c r="C59" s="22"/>
      <c r="D59" s="51"/>
    </row>
    <row r="60" spans="1:11" x14ac:dyDescent="0.45">
      <c r="C60" s="31"/>
      <c r="D60" s="52"/>
    </row>
    <row r="61" spans="1:11" x14ac:dyDescent="0.45">
      <c r="C61" s="32"/>
      <c r="D61" s="53"/>
    </row>
    <row r="62" spans="1:11" x14ac:dyDescent="0.45">
      <c r="C62" s="33"/>
      <c r="D62" s="54"/>
    </row>
    <row r="63" spans="1:11" x14ac:dyDescent="0.45">
      <c r="C63" s="26"/>
      <c r="D63" s="55"/>
    </row>
    <row r="65" spans="3:7" x14ac:dyDescent="0.45">
      <c r="C65" s="22"/>
      <c r="D65" s="22"/>
      <c r="E65" s="22"/>
      <c r="F65" s="22"/>
      <c r="G65" s="22"/>
    </row>
  </sheetData>
  <mergeCells count="2">
    <mergeCell ref="E5:F5"/>
    <mergeCell ref="E6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700A-D4C1-46DA-BC24-AD762198D792}">
  <dimension ref="A1:E11"/>
  <sheetViews>
    <sheetView workbookViewId="0">
      <selection sqref="A1:XFD1048576"/>
    </sheetView>
  </sheetViews>
  <sheetFormatPr defaultRowHeight="14.25" x14ac:dyDescent="0.45"/>
  <sheetData>
    <row r="1" spans="1:5" x14ac:dyDescent="0.45">
      <c r="A1" t="s">
        <v>65</v>
      </c>
      <c r="B1" t="s">
        <v>66</v>
      </c>
      <c r="C1" t="s">
        <v>67</v>
      </c>
      <c r="D1" t="s">
        <v>68</v>
      </c>
      <c r="E1" t="s">
        <v>69</v>
      </c>
    </row>
    <row r="3" spans="1:5" x14ac:dyDescent="0.45">
      <c r="A3" t="s">
        <v>70</v>
      </c>
      <c r="B3">
        <v>5000</v>
      </c>
      <c r="C3">
        <v>20000</v>
      </c>
      <c r="D3">
        <v>8000</v>
      </c>
      <c r="E3">
        <f>SUM(C3:D3)</f>
        <v>28000</v>
      </c>
    </row>
    <row r="4" spans="1:5" x14ac:dyDescent="0.45">
      <c r="A4" t="s">
        <v>71</v>
      </c>
      <c r="B4">
        <v>10000</v>
      </c>
      <c r="C4">
        <v>5000</v>
      </c>
      <c r="D4">
        <v>15000</v>
      </c>
      <c r="E4">
        <f t="shared" ref="E4:E11" si="0">SUM(C4:D4)</f>
        <v>20000</v>
      </c>
    </row>
    <row r="5" spans="1:5" x14ac:dyDescent="0.45">
      <c r="A5" t="s">
        <v>72</v>
      </c>
      <c r="B5">
        <v>2100</v>
      </c>
      <c r="C5">
        <v>30000</v>
      </c>
      <c r="D5">
        <v>16000</v>
      </c>
      <c r="E5">
        <f t="shared" si="0"/>
        <v>46000</v>
      </c>
    </row>
    <row r="6" spans="1:5" x14ac:dyDescent="0.45">
      <c r="A6" t="s">
        <v>73</v>
      </c>
      <c r="B6">
        <v>4000</v>
      </c>
      <c r="C6">
        <v>27000</v>
      </c>
      <c r="D6">
        <v>6000</v>
      </c>
      <c r="E6">
        <f t="shared" si="0"/>
        <v>33000</v>
      </c>
    </row>
    <row r="7" spans="1:5" x14ac:dyDescent="0.45">
      <c r="A7" t="s">
        <v>74</v>
      </c>
      <c r="B7">
        <v>1400</v>
      </c>
      <c r="C7">
        <v>15000</v>
      </c>
      <c r="D7">
        <v>8000</v>
      </c>
      <c r="E7">
        <f t="shared" si="0"/>
        <v>23000</v>
      </c>
    </row>
    <row r="8" spans="1:5" x14ac:dyDescent="0.45">
      <c r="A8" t="s">
        <v>75</v>
      </c>
      <c r="B8">
        <v>1500</v>
      </c>
      <c r="C8">
        <v>32000</v>
      </c>
      <c r="D8">
        <v>8000</v>
      </c>
      <c r="E8">
        <f t="shared" si="0"/>
        <v>40000</v>
      </c>
    </row>
    <row r="9" spans="1:5" x14ac:dyDescent="0.45">
      <c r="A9" t="s">
        <v>76</v>
      </c>
      <c r="B9">
        <v>2500</v>
      </c>
      <c r="C9">
        <v>5000</v>
      </c>
      <c r="D9">
        <v>10000</v>
      </c>
      <c r="E9">
        <f t="shared" si="0"/>
        <v>15000</v>
      </c>
    </row>
    <row r="10" spans="1:5" x14ac:dyDescent="0.45">
      <c r="A10" t="s">
        <v>77</v>
      </c>
      <c r="B10">
        <v>6400</v>
      </c>
      <c r="C10">
        <v>20000</v>
      </c>
      <c r="D10">
        <v>10000</v>
      </c>
      <c r="E10">
        <f t="shared" si="0"/>
        <v>30000</v>
      </c>
    </row>
    <row r="11" spans="1:5" x14ac:dyDescent="0.45">
      <c r="A11" t="s">
        <v>78</v>
      </c>
      <c r="B11">
        <f>SUM(B3:B10)</f>
        <v>32900</v>
      </c>
      <c r="C11">
        <f>SUM(C3:C10)</f>
        <v>154000</v>
      </c>
      <c r="D11">
        <f>SUM(D3:D10)</f>
        <v>81000</v>
      </c>
      <c r="E11">
        <f t="shared" si="0"/>
        <v>235000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A371-9B0C-49A9-9E6B-E37FB82BB62B}">
  <dimension ref="A1:H10"/>
  <sheetViews>
    <sheetView workbookViewId="0">
      <selection activeCell="C27" sqref="C27"/>
    </sheetView>
  </sheetViews>
  <sheetFormatPr defaultRowHeight="14.25" x14ac:dyDescent="0.45"/>
  <sheetData>
    <row r="1" spans="1:8" x14ac:dyDescent="0.45">
      <c r="B1" t="s">
        <v>80</v>
      </c>
      <c r="C1" t="s">
        <v>81</v>
      </c>
      <c r="F1" t="s">
        <v>80</v>
      </c>
    </row>
    <row r="2" spans="1:8" x14ac:dyDescent="0.45">
      <c r="F2">
        <v>-500</v>
      </c>
      <c r="G2">
        <v>-600</v>
      </c>
    </row>
    <row r="3" spans="1:8" x14ac:dyDescent="0.45">
      <c r="A3" t="s">
        <v>82</v>
      </c>
      <c r="B3">
        <v>500</v>
      </c>
      <c r="C3">
        <v>600</v>
      </c>
      <c r="F3">
        <v>-120</v>
      </c>
      <c r="G3">
        <v>-100</v>
      </c>
    </row>
    <row r="4" spans="1:8" x14ac:dyDescent="0.45">
      <c r="A4" t="s">
        <v>83</v>
      </c>
      <c r="B4">
        <v>3</v>
      </c>
      <c r="C4">
        <v>4</v>
      </c>
      <c r="F4">
        <v>-120</v>
      </c>
      <c r="G4">
        <v>-100</v>
      </c>
    </row>
    <row r="5" spans="1:8" x14ac:dyDescent="0.45">
      <c r="A5" t="s">
        <v>84</v>
      </c>
      <c r="B5">
        <v>120</v>
      </c>
      <c r="C5">
        <v>100</v>
      </c>
      <c r="F5">
        <v>-120</v>
      </c>
      <c r="G5">
        <v>-100</v>
      </c>
    </row>
    <row r="6" spans="1:8" x14ac:dyDescent="0.45">
      <c r="G6">
        <v>-100</v>
      </c>
    </row>
    <row r="7" spans="1:8" x14ac:dyDescent="0.45">
      <c r="A7" t="s">
        <v>85</v>
      </c>
      <c r="B7">
        <f>500/3</f>
        <v>166.66666666666666</v>
      </c>
      <c r="C7">
        <f>600/4</f>
        <v>150</v>
      </c>
    </row>
    <row r="9" spans="1:8" x14ac:dyDescent="0.45">
      <c r="A9" t="s">
        <v>86</v>
      </c>
      <c r="B9" s="57">
        <f>NPV(0.1,F3:F5)-500</f>
        <v>-798.42223891810659</v>
      </c>
      <c r="C9" s="57">
        <f>NPV(0.1,G3:G6)-600</f>
        <v>-916.98654463492926</v>
      </c>
    </row>
    <row r="10" spans="1:8" x14ac:dyDescent="0.45">
      <c r="A10" t="s">
        <v>87</v>
      </c>
      <c r="B10" s="57">
        <f>PMT(0.1,3,-500,,)</f>
        <v>201.05740181268888</v>
      </c>
      <c r="C10" s="57">
        <f>PMT(0.1,5,-600,,)</f>
        <v>158.27848847684726</v>
      </c>
      <c r="H1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KUNAL</dc:creator>
  <cp:lastModifiedBy>KISHORE KUNAL</cp:lastModifiedBy>
  <dcterms:created xsi:type="dcterms:W3CDTF">2026-01-05T08:53:13Z</dcterms:created>
  <dcterms:modified xsi:type="dcterms:W3CDTF">2026-01-06T19:58:12Z</dcterms:modified>
</cp:coreProperties>
</file>