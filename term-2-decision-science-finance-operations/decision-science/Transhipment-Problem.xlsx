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31d95b556acc0c/Desktop/PGDM_BM/Term 2/Decision Science/"/>
    </mc:Choice>
  </mc:AlternateContent>
  <xr:revisionPtr revIDLastSave="0" documentId="8_{431D5275-CDF1-4928-A470-C49D7BBBDF66}" xr6:coauthVersionLast="47" xr6:coauthVersionMax="47" xr10:uidLastSave="{00000000-0000-0000-0000-000000000000}"/>
  <bookViews>
    <workbookView xWindow="-98" yWindow="-98" windowWidth="21795" windowHeight="12975" activeTab="4" xr2:uid="{DCC69C3B-09EE-4CA9-ADD7-0955E0180B1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solver_adj" localSheetId="0" hidden="1">Sheet1!$K$19:$L$20,Sheet1!$K$24:$N$25</definedName>
    <definedName name="solver_adj" localSheetId="1" hidden="1">Sheet2!$E$16:$J$19</definedName>
    <definedName name="solver_adj" localSheetId="2" hidden="1">Sheet3!$E$18:$J$22</definedName>
    <definedName name="solver_adj" localSheetId="3" hidden="1">Sheet4!$E$18:$J$22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2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Sheet1!$K$26:$N$26</definedName>
    <definedName name="solver_lhs1" localSheetId="1" hidden="1">Sheet2!$G$20:$J$20</definedName>
    <definedName name="solver_lhs1" localSheetId="2" hidden="1">Sheet3!$G$24:$J$24</definedName>
    <definedName name="solver_lhs1" localSheetId="3" hidden="1">Sheet4!$G$24:$J$24</definedName>
    <definedName name="solver_lhs2" localSheetId="0" hidden="1">Sheet1!$M$19:$M$20</definedName>
    <definedName name="solver_lhs2" localSheetId="1" hidden="1">Sheet2!$K$16:$K$17</definedName>
    <definedName name="solver_lhs2" localSheetId="2" hidden="1">Sheet3!$K$18:$K$20</definedName>
    <definedName name="solver_lhs2" localSheetId="3" hidden="1">Sheet4!$J$5:$J$7</definedName>
    <definedName name="solver_lhs3" localSheetId="0" hidden="1">Sheet1!$M$19:$M$20</definedName>
    <definedName name="solver_lhs3" localSheetId="1" hidden="1">Sheet2!$K$18:$K$19</definedName>
    <definedName name="solver_lhs3" localSheetId="2" hidden="1">Sheet3!$K$21:$K$22</definedName>
    <definedName name="solver_lhs3" localSheetId="3" hidden="1">Sheet4!$K$21:$K$22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3</definedName>
    <definedName name="solver_num" localSheetId="1" hidden="1">3</definedName>
    <definedName name="solver_num" localSheetId="2" hidden="1">3</definedName>
    <definedName name="solver_num" localSheetId="3" hidden="1">3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Sheet1!$M$10</definedName>
    <definedName name="solver_opt" localSheetId="1" hidden="1">Sheet2!$E$22</definedName>
    <definedName name="solver_opt" localSheetId="2" hidden="1">Sheet3!$G$26</definedName>
    <definedName name="solver_opt" localSheetId="3" hidden="1">Sheet4!$L$11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2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2" localSheetId="0" hidden="1">1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3" localSheetId="0" hidden="1">3</definedName>
    <definedName name="solver_rel3" localSheetId="1" hidden="1">2</definedName>
    <definedName name="solver_rel3" localSheetId="2" hidden="1">2</definedName>
    <definedName name="solver_rel3" localSheetId="3" hidden="1">2</definedName>
    <definedName name="solver_rhs1" localSheetId="0" hidden="1">Sheet1!$G$9:$J$9</definedName>
    <definedName name="solver_rhs1" localSheetId="1" hidden="1">Sheet2!$G$9:$J$9</definedName>
    <definedName name="solver_rhs1" localSheetId="2" hidden="1">Sheet3!$F$10:$I$10</definedName>
    <definedName name="solver_rhs1" localSheetId="3" hidden="1">Sheet4!$F$10:$I$10</definedName>
    <definedName name="solver_rhs2" localSheetId="0" hidden="1">Sheet1!$K$5:$K$6</definedName>
    <definedName name="solver_rhs2" localSheetId="1" hidden="1">Sheet2!$K$5:$K$6</definedName>
    <definedName name="solver_rhs2" localSheetId="2" hidden="1">Sheet3!$J$5:$J$7</definedName>
    <definedName name="solver_rhs2" localSheetId="3" hidden="1">Sheet4!$K$18:$K$20</definedName>
    <definedName name="solver_rhs3" localSheetId="0" hidden="1">Sheet1!$O$24:$O$25</definedName>
    <definedName name="solver_rhs3" localSheetId="1" hidden="1">Sheet2!$E$20:$F$20</definedName>
    <definedName name="solver_rhs3" localSheetId="2" hidden="1">Sheet3!$E$24:$F$24</definedName>
    <definedName name="solver_rhs3" localSheetId="3" hidden="1">Sheet4!$E$24:$F$24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4" l="1"/>
  <c r="I24" i="4"/>
  <c r="H24" i="4"/>
  <c r="G24" i="4"/>
  <c r="F24" i="4"/>
  <c r="E24" i="4"/>
  <c r="K22" i="4"/>
  <c r="K21" i="4"/>
  <c r="K20" i="4"/>
  <c r="K19" i="4"/>
  <c r="K18" i="4"/>
  <c r="L11" i="4"/>
  <c r="L11" i="3"/>
  <c r="F24" i="3"/>
  <c r="G24" i="3"/>
  <c r="H24" i="3"/>
  <c r="I24" i="3"/>
  <c r="J24" i="3"/>
  <c r="E24" i="3"/>
  <c r="K19" i="3"/>
  <c r="K20" i="3"/>
  <c r="K21" i="3"/>
  <c r="K22" i="3"/>
  <c r="K18" i="3"/>
  <c r="E22" i="2"/>
  <c r="F20" i="2"/>
  <c r="G20" i="2"/>
  <c r="H20" i="2"/>
  <c r="I20" i="2"/>
  <c r="J20" i="2"/>
  <c r="E20" i="2"/>
  <c r="K17" i="2"/>
  <c r="K18" i="2"/>
  <c r="K19" i="2"/>
  <c r="K16" i="2"/>
  <c r="M10" i="1"/>
  <c r="L26" i="1"/>
  <c r="M26" i="1"/>
  <c r="N26" i="1"/>
  <c r="K26" i="1"/>
  <c r="O25" i="1"/>
  <c r="O24" i="1"/>
  <c r="M20" i="1"/>
  <c r="M19" i="1"/>
</calcChain>
</file>

<file path=xl/sharedStrings.xml><?xml version="1.0" encoding="utf-8"?>
<sst xmlns="http://schemas.openxmlformats.org/spreadsheetml/2006/main" count="101" uniqueCount="12">
  <si>
    <t>C1</t>
  </si>
  <si>
    <t>C2</t>
  </si>
  <si>
    <t>C3</t>
  </si>
  <si>
    <t>C4</t>
  </si>
  <si>
    <t>TS1</t>
  </si>
  <si>
    <t>TS2</t>
  </si>
  <si>
    <t>Supply</t>
  </si>
  <si>
    <t>P1</t>
  </si>
  <si>
    <t>P2</t>
  </si>
  <si>
    <t>P3</t>
  </si>
  <si>
    <t>Demand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</si>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</sst>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4BD3-42DD-4C60-9805-141B6C7EBE13}">
  <dimension ref="D4:O26"/>
  <sheetViews>
    <sheetView workbookViewId="0">
      <selection activeCell="D4" sqref="D4:P28"/>
    </sheetView>
  </sheetViews>
  <sheetFormatPr defaultRowHeight="14.25" x14ac:dyDescent="0.45"/>
  <sheetData>
    <row r="4" spans="4:13" ht="14.65" thickBot="1" x14ac:dyDescent="0.5">
      <c r="D4" s="1"/>
      <c r="E4" s="2" t="s">
        <v>4</v>
      </c>
      <c r="F4" s="2" t="s">
        <v>5</v>
      </c>
      <c r="G4" s="2" t="s">
        <v>0</v>
      </c>
      <c r="H4" s="2" t="s">
        <v>1</v>
      </c>
      <c r="I4" s="2" t="s">
        <v>2</v>
      </c>
      <c r="J4" s="2" t="s">
        <v>3</v>
      </c>
      <c r="K4" s="2" t="s">
        <v>6</v>
      </c>
    </row>
    <row r="5" spans="4:13" x14ac:dyDescent="0.45">
      <c r="D5" s="2" t="s">
        <v>7</v>
      </c>
      <c r="E5" s="9">
        <v>2</v>
      </c>
      <c r="F5" s="3">
        <v>3</v>
      </c>
      <c r="G5" s="3"/>
      <c r="H5" s="3"/>
      <c r="I5" s="3"/>
      <c r="J5" s="4"/>
      <c r="K5">
        <v>600</v>
      </c>
    </row>
    <row r="6" spans="4:13" x14ac:dyDescent="0.45">
      <c r="D6" s="2" t="s">
        <v>8</v>
      </c>
      <c r="E6" s="10">
        <v>3</v>
      </c>
      <c r="F6" s="5">
        <v>1</v>
      </c>
      <c r="G6" s="5"/>
      <c r="H6" s="5"/>
      <c r="I6" s="5"/>
      <c r="J6" s="6"/>
      <c r="K6">
        <v>400</v>
      </c>
    </row>
    <row r="7" spans="4:13" x14ac:dyDescent="0.45">
      <c r="D7" s="2" t="s">
        <v>4</v>
      </c>
      <c r="E7" s="10"/>
      <c r="F7" s="5"/>
      <c r="G7" s="5">
        <v>2</v>
      </c>
      <c r="H7" s="5">
        <v>6</v>
      </c>
      <c r="I7" s="5">
        <v>3</v>
      </c>
      <c r="J7" s="6">
        <v>6</v>
      </c>
    </row>
    <row r="8" spans="4:13" x14ac:dyDescent="0.45">
      <c r="D8" s="1" t="s">
        <v>5</v>
      </c>
      <c r="E8" s="10"/>
      <c r="F8" s="5"/>
      <c r="G8" s="5">
        <v>4</v>
      </c>
      <c r="H8" s="5">
        <v>4</v>
      </c>
      <c r="I8" s="5">
        <v>6</v>
      </c>
      <c r="J8" s="6">
        <v>5</v>
      </c>
    </row>
    <row r="9" spans="4:13" ht="14.65" thickBot="1" x14ac:dyDescent="0.5">
      <c r="E9" s="11"/>
      <c r="F9" s="7"/>
      <c r="G9" s="7">
        <v>200</v>
      </c>
      <c r="H9" s="7">
        <v>150</v>
      </c>
      <c r="I9" s="7">
        <v>350</v>
      </c>
      <c r="J9" s="8">
        <v>300</v>
      </c>
    </row>
    <row r="10" spans="4:13" x14ac:dyDescent="0.45">
      <c r="M10">
        <f>SUMPRODUCT(K24:N25,G7:J8)+SUMPRODUCT(K19:L20,E5:F6)</f>
        <v>5200</v>
      </c>
    </row>
    <row r="18" spans="4:15" ht="14.65" thickBot="1" x14ac:dyDescent="0.5">
      <c r="D18" s="1"/>
      <c r="E18" s="2" t="s">
        <v>4</v>
      </c>
      <c r="F18" s="2" t="s">
        <v>5</v>
      </c>
      <c r="J18" s="1"/>
      <c r="K18" s="2" t="s">
        <v>4</v>
      </c>
      <c r="L18" s="2" t="s">
        <v>5</v>
      </c>
    </row>
    <row r="19" spans="4:15" x14ac:dyDescent="0.45">
      <c r="D19" s="2" t="s">
        <v>7</v>
      </c>
      <c r="E19" s="9">
        <v>2</v>
      </c>
      <c r="F19" s="4">
        <v>3</v>
      </c>
      <c r="J19" s="2" t="s">
        <v>7</v>
      </c>
      <c r="K19" s="9">
        <v>600</v>
      </c>
      <c r="L19" s="4">
        <v>0</v>
      </c>
      <c r="M19">
        <f>SUM(K19:L19)</f>
        <v>600</v>
      </c>
    </row>
    <row r="20" spans="4:15" ht="14.65" thickBot="1" x14ac:dyDescent="0.5">
      <c r="D20" s="2" t="s">
        <v>8</v>
      </c>
      <c r="E20" s="11">
        <v>3</v>
      </c>
      <c r="F20" s="8">
        <v>1</v>
      </c>
      <c r="J20" s="2" t="s">
        <v>8</v>
      </c>
      <c r="K20" s="11">
        <v>0</v>
      </c>
      <c r="L20" s="8">
        <v>400</v>
      </c>
      <c r="M20">
        <f>SUM(K20:L20)</f>
        <v>400</v>
      </c>
    </row>
    <row r="23" spans="4:15" ht="14.65" thickBot="1" x14ac:dyDescent="0.5">
      <c r="E23" t="s">
        <v>0</v>
      </c>
      <c r="F23" t="s">
        <v>1</v>
      </c>
      <c r="G23" t="s">
        <v>2</v>
      </c>
      <c r="H23" t="s">
        <v>3</v>
      </c>
      <c r="K23" t="s">
        <v>0</v>
      </c>
      <c r="L23" t="s">
        <v>1</v>
      </c>
      <c r="M23" t="s">
        <v>2</v>
      </c>
      <c r="N23" t="s">
        <v>3</v>
      </c>
    </row>
    <row r="24" spans="4:15" x14ac:dyDescent="0.45">
      <c r="D24" t="s">
        <v>4</v>
      </c>
      <c r="E24" s="9">
        <v>2</v>
      </c>
      <c r="F24" s="3">
        <v>6</v>
      </c>
      <c r="G24" s="3">
        <v>3</v>
      </c>
      <c r="H24" s="4">
        <v>6</v>
      </c>
      <c r="J24" t="s">
        <v>4</v>
      </c>
      <c r="K24" s="9">
        <v>200</v>
      </c>
      <c r="L24" s="3">
        <v>0</v>
      </c>
      <c r="M24" s="3">
        <v>350</v>
      </c>
      <c r="N24" s="4">
        <v>50</v>
      </c>
      <c r="O24">
        <f>SUM(K24:N24)</f>
        <v>600</v>
      </c>
    </row>
    <row r="25" spans="4:15" ht="14.65" thickBot="1" x14ac:dyDescent="0.5">
      <c r="D25" t="s">
        <v>5</v>
      </c>
      <c r="E25" s="11">
        <v>4</v>
      </c>
      <c r="F25" s="7">
        <v>4</v>
      </c>
      <c r="G25" s="7">
        <v>6</v>
      </c>
      <c r="H25" s="8">
        <v>5</v>
      </c>
      <c r="J25" t="s">
        <v>5</v>
      </c>
      <c r="K25" s="11">
        <v>0</v>
      </c>
      <c r="L25" s="7">
        <v>150</v>
      </c>
      <c r="M25" s="7">
        <v>0</v>
      </c>
      <c r="N25" s="8">
        <v>250</v>
      </c>
      <c r="O25">
        <f>SUM(K25:N25)</f>
        <v>400</v>
      </c>
    </row>
    <row r="26" spans="4:15" x14ac:dyDescent="0.45">
      <c r="K26">
        <f>SUM(K24:K25)</f>
        <v>200</v>
      </c>
      <c r="L26">
        <f t="shared" ref="L26:N26" si="0">SUM(L24:L25)</f>
        <v>150</v>
      </c>
      <c r="M26">
        <f t="shared" si="0"/>
        <v>350</v>
      </c>
      <c r="N26">
        <f t="shared" si="0"/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1836-19D4-441F-B489-4BF9B0137576}">
  <dimension ref="D4:K22"/>
  <sheetViews>
    <sheetView workbookViewId="0">
      <selection activeCell="E23" sqref="E23"/>
    </sheetView>
  </sheetViews>
  <sheetFormatPr defaultRowHeight="14.25" x14ac:dyDescent="0.45"/>
  <sheetData>
    <row r="4" spans="4:11" ht="14.65" thickBot="1" x14ac:dyDescent="0.5">
      <c r="D4" s="1"/>
      <c r="E4" s="2" t="s">
        <v>4</v>
      </c>
      <c r="F4" s="2" t="s">
        <v>5</v>
      </c>
      <c r="G4" s="2" t="s">
        <v>0</v>
      </c>
      <c r="H4" s="2" t="s">
        <v>1</v>
      </c>
      <c r="I4" s="2" t="s">
        <v>2</v>
      </c>
      <c r="J4" s="2" t="s">
        <v>3</v>
      </c>
      <c r="K4" s="2" t="s">
        <v>6</v>
      </c>
    </row>
    <row r="5" spans="4:11" x14ac:dyDescent="0.45">
      <c r="D5" s="2" t="s">
        <v>7</v>
      </c>
      <c r="E5" s="9">
        <v>2</v>
      </c>
      <c r="F5" s="3">
        <v>3</v>
      </c>
      <c r="G5" s="3"/>
      <c r="H5" s="3"/>
      <c r="I5" s="3"/>
      <c r="J5" s="4"/>
      <c r="K5">
        <v>600</v>
      </c>
    </row>
    <row r="6" spans="4:11" x14ac:dyDescent="0.45">
      <c r="D6" s="2" t="s">
        <v>8</v>
      </c>
      <c r="E6" s="10">
        <v>3</v>
      </c>
      <c r="F6" s="5">
        <v>1</v>
      </c>
      <c r="G6" s="5"/>
      <c r="H6" s="5"/>
      <c r="I6" s="5"/>
      <c r="J6" s="6"/>
      <c r="K6">
        <v>400</v>
      </c>
    </row>
    <row r="7" spans="4:11" x14ac:dyDescent="0.45">
      <c r="D7" s="2" t="s">
        <v>4</v>
      </c>
      <c r="E7" s="10"/>
      <c r="F7" s="5"/>
      <c r="G7" s="5">
        <v>2</v>
      </c>
      <c r="H7" s="5">
        <v>6</v>
      </c>
      <c r="I7" s="5">
        <v>3</v>
      </c>
      <c r="J7" s="6">
        <v>6</v>
      </c>
    </row>
    <row r="8" spans="4:11" x14ac:dyDescent="0.45">
      <c r="D8" s="1" t="s">
        <v>5</v>
      </c>
      <c r="E8" s="10"/>
      <c r="F8" s="5"/>
      <c r="G8" s="5">
        <v>4</v>
      </c>
      <c r="H8" s="5">
        <v>4</v>
      </c>
      <c r="I8" s="5">
        <v>6</v>
      </c>
      <c r="J8" s="6">
        <v>5</v>
      </c>
    </row>
    <row r="9" spans="4:11" ht="14.65" thickBot="1" x14ac:dyDescent="0.5">
      <c r="E9" s="11"/>
      <c r="F9" s="7"/>
      <c r="G9" s="7">
        <v>200</v>
      </c>
      <c r="H9" s="7">
        <v>150</v>
      </c>
      <c r="I9" s="7">
        <v>350</v>
      </c>
      <c r="J9" s="8">
        <v>300</v>
      </c>
    </row>
    <row r="15" spans="4:11" ht="14.65" thickBot="1" x14ac:dyDescent="0.5">
      <c r="D15" s="1"/>
      <c r="E15" s="2" t="s">
        <v>4</v>
      </c>
      <c r="F15" s="2" t="s">
        <v>5</v>
      </c>
      <c r="G15" s="2" t="s">
        <v>0</v>
      </c>
      <c r="H15" s="2" t="s">
        <v>1</v>
      </c>
      <c r="I15" s="2" t="s">
        <v>2</v>
      </c>
      <c r="J15" s="2" t="s">
        <v>3</v>
      </c>
      <c r="K15" s="2" t="s">
        <v>6</v>
      </c>
    </row>
    <row r="16" spans="4:11" x14ac:dyDescent="0.45">
      <c r="D16" s="2" t="s">
        <v>7</v>
      </c>
      <c r="E16" s="9">
        <v>550</v>
      </c>
      <c r="F16" s="3">
        <v>50</v>
      </c>
      <c r="G16" s="3">
        <v>0</v>
      </c>
      <c r="H16" s="3">
        <v>0</v>
      </c>
      <c r="I16" s="3">
        <v>0</v>
      </c>
      <c r="J16" s="4">
        <v>0</v>
      </c>
      <c r="K16">
        <f>SUMIF(E5:J5,"&gt;0",E16:J16)</f>
        <v>600</v>
      </c>
    </row>
    <row r="17" spans="4:11" x14ac:dyDescent="0.45">
      <c r="D17" s="2" t="s">
        <v>8</v>
      </c>
      <c r="E17" s="10">
        <v>0</v>
      </c>
      <c r="F17" s="5">
        <v>400</v>
      </c>
      <c r="G17" s="5">
        <v>0</v>
      </c>
      <c r="H17" s="5">
        <v>0</v>
      </c>
      <c r="I17" s="5">
        <v>0</v>
      </c>
      <c r="J17" s="6">
        <v>0</v>
      </c>
      <c r="K17">
        <f t="shared" ref="K17:K19" si="0">SUMIF(E6:J6,"&gt;0",E17:J17)</f>
        <v>400</v>
      </c>
    </row>
    <row r="18" spans="4:11" x14ac:dyDescent="0.45">
      <c r="D18" s="2" t="s">
        <v>4</v>
      </c>
      <c r="E18" s="10">
        <v>0</v>
      </c>
      <c r="F18" s="5">
        <v>0</v>
      </c>
      <c r="G18" s="5">
        <v>200</v>
      </c>
      <c r="H18" s="5">
        <v>0</v>
      </c>
      <c r="I18" s="5">
        <v>350</v>
      </c>
      <c r="J18" s="6">
        <v>0</v>
      </c>
      <c r="K18">
        <f t="shared" si="0"/>
        <v>550</v>
      </c>
    </row>
    <row r="19" spans="4:11" x14ac:dyDescent="0.45">
      <c r="D19" s="1" t="s">
        <v>5</v>
      </c>
      <c r="E19" s="10">
        <v>0</v>
      </c>
      <c r="F19" s="5">
        <v>0</v>
      </c>
      <c r="G19" s="5">
        <v>0</v>
      </c>
      <c r="H19" s="5">
        <v>150</v>
      </c>
      <c r="I19" s="5">
        <v>0</v>
      </c>
      <c r="J19" s="6">
        <v>300</v>
      </c>
      <c r="K19">
        <f t="shared" si="0"/>
        <v>450</v>
      </c>
    </row>
    <row r="20" spans="4:11" x14ac:dyDescent="0.45">
      <c r="D20" s="12" t="s">
        <v>10</v>
      </c>
      <c r="E20">
        <f>SUMIF(E5:E8,"&gt;0",E16:E19)</f>
        <v>550</v>
      </c>
      <c r="F20">
        <f t="shared" ref="F20:J20" si="1">SUMIF(F5:F8,"&gt;0",F16:F19)</f>
        <v>450</v>
      </c>
      <c r="G20">
        <f t="shared" si="1"/>
        <v>200</v>
      </c>
      <c r="H20">
        <f t="shared" si="1"/>
        <v>150</v>
      </c>
      <c r="I20">
        <f t="shared" si="1"/>
        <v>350</v>
      </c>
      <c r="J20">
        <f t="shared" si="1"/>
        <v>300</v>
      </c>
    </row>
    <row r="22" spans="4:11" x14ac:dyDescent="0.45">
      <c r="D22" s="12" t="s">
        <v>11</v>
      </c>
      <c r="E22">
        <f>SUMPRODUCT(E16:J19,E5:J8)</f>
        <v>5200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5AB7-28B9-42C6-B392-BD973B5E7361}">
  <dimension ref="C4:M26"/>
  <sheetViews>
    <sheetView workbookViewId="0">
      <selection activeCell="Q10" sqref="A1:XFD1048576"/>
    </sheetView>
  </sheetViews>
  <sheetFormatPr defaultRowHeight="14.25" x14ac:dyDescent="0.45"/>
  <sheetData>
    <row r="4" spans="3:12" ht="14.65" thickBot="1" x14ac:dyDescent="0.5">
      <c r="C4" s="1"/>
      <c r="D4" s="2" t="s">
        <v>4</v>
      </c>
      <c r="E4" s="2" t="s">
        <v>5</v>
      </c>
      <c r="F4" s="2" t="s">
        <v>0</v>
      </c>
      <c r="G4" s="2" t="s">
        <v>1</v>
      </c>
      <c r="H4" s="2" t="s">
        <v>2</v>
      </c>
      <c r="I4" s="2" t="s">
        <v>3</v>
      </c>
      <c r="J4" s="2" t="s">
        <v>6</v>
      </c>
    </row>
    <row r="5" spans="3:12" x14ac:dyDescent="0.45">
      <c r="C5" s="2" t="s">
        <v>7</v>
      </c>
      <c r="D5" s="9">
        <v>4</v>
      </c>
      <c r="E5" s="3">
        <v>7</v>
      </c>
      <c r="F5" s="3"/>
      <c r="G5" s="3"/>
      <c r="H5" s="3"/>
      <c r="I5" s="4"/>
      <c r="J5">
        <v>450</v>
      </c>
    </row>
    <row r="6" spans="3:12" x14ac:dyDescent="0.45">
      <c r="C6" s="2" t="s">
        <v>8</v>
      </c>
      <c r="D6" s="10">
        <v>8</v>
      </c>
      <c r="E6" s="5">
        <v>5</v>
      </c>
      <c r="F6" s="5"/>
      <c r="G6" s="5"/>
      <c r="H6" s="5"/>
      <c r="I6" s="6"/>
      <c r="J6">
        <v>600</v>
      </c>
    </row>
    <row r="7" spans="3:12" x14ac:dyDescent="0.45">
      <c r="C7" s="2" t="s">
        <v>9</v>
      </c>
      <c r="D7" s="10">
        <v>5</v>
      </c>
      <c r="E7" s="5">
        <v>6</v>
      </c>
      <c r="F7" s="5"/>
      <c r="G7" s="5"/>
      <c r="H7" s="5"/>
      <c r="I7" s="6"/>
      <c r="J7">
        <v>380</v>
      </c>
    </row>
    <row r="8" spans="3:12" x14ac:dyDescent="0.45">
      <c r="C8" s="2" t="s">
        <v>4</v>
      </c>
      <c r="D8" s="10"/>
      <c r="E8" s="5"/>
      <c r="F8" s="5">
        <v>6</v>
      </c>
      <c r="G8" s="5">
        <v>4</v>
      </c>
      <c r="H8" s="5">
        <v>8</v>
      </c>
      <c r="I8" s="6">
        <v>4</v>
      </c>
    </row>
    <row r="9" spans="3:12" x14ac:dyDescent="0.45">
      <c r="C9" s="1" t="s">
        <v>5</v>
      </c>
      <c r="D9" s="10"/>
      <c r="E9" s="5"/>
      <c r="F9" s="5">
        <v>3</v>
      </c>
      <c r="G9" s="5">
        <v>6</v>
      </c>
      <c r="H9" s="5">
        <v>7</v>
      </c>
      <c r="I9" s="6">
        <v>7</v>
      </c>
    </row>
    <row r="10" spans="3:12" ht="14.65" thickBot="1" x14ac:dyDescent="0.5">
      <c r="D10" s="11"/>
      <c r="E10" s="7"/>
      <c r="F10" s="7">
        <v>300</v>
      </c>
      <c r="G10" s="7">
        <v>300</v>
      </c>
      <c r="H10" s="7">
        <v>300</v>
      </c>
      <c r="I10" s="8">
        <v>400</v>
      </c>
    </row>
    <row r="11" spans="3:12" x14ac:dyDescent="0.45">
      <c r="L11">
        <f>SUMPRODUCT(E18:J22,D5:I9)</f>
        <v>11850</v>
      </c>
    </row>
    <row r="17" spans="3:13" ht="14.65" thickBot="1" x14ac:dyDescent="0.5">
      <c r="D17" s="1"/>
      <c r="E17" s="2" t="s">
        <v>4</v>
      </c>
      <c r="F17" s="2" t="s">
        <v>5</v>
      </c>
      <c r="G17" s="2" t="s">
        <v>0</v>
      </c>
      <c r="H17" s="2" t="s">
        <v>1</v>
      </c>
      <c r="I17" s="2" t="s">
        <v>2</v>
      </c>
      <c r="J17" s="2" t="s">
        <v>3</v>
      </c>
    </row>
    <row r="18" spans="3:13" x14ac:dyDescent="0.45">
      <c r="D18" s="2" t="s">
        <v>7</v>
      </c>
      <c r="E18" s="9">
        <v>450</v>
      </c>
      <c r="F18" s="3">
        <v>0</v>
      </c>
      <c r="G18" s="3">
        <v>0</v>
      </c>
      <c r="H18" s="3">
        <v>0</v>
      </c>
      <c r="I18" s="3">
        <v>0</v>
      </c>
      <c r="J18" s="4">
        <v>0</v>
      </c>
      <c r="K18">
        <f>SUMIF(D5:I5,"&gt;0",E18:J18)</f>
        <v>450</v>
      </c>
    </row>
    <row r="19" spans="3:13" x14ac:dyDescent="0.45">
      <c r="C19" s="1"/>
      <c r="D19" s="2" t="s">
        <v>8</v>
      </c>
      <c r="E19" s="10">
        <v>0</v>
      </c>
      <c r="F19" s="5">
        <v>600</v>
      </c>
      <c r="G19" s="5">
        <v>0</v>
      </c>
      <c r="H19" s="5">
        <v>0</v>
      </c>
      <c r="I19" s="5">
        <v>0</v>
      </c>
      <c r="J19" s="6">
        <v>0</v>
      </c>
      <c r="K19">
        <f t="shared" ref="K19:K22" si="0">SUMIF(D6:I6,"&gt;0",E19:J19)</f>
        <v>600</v>
      </c>
    </row>
    <row r="20" spans="3:13" x14ac:dyDescent="0.45">
      <c r="C20" s="2"/>
      <c r="D20" s="2" t="s">
        <v>9</v>
      </c>
      <c r="E20" s="10">
        <v>250</v>
      </c>
      <c r="F20" s="5">
        <v>0</v>
      </c>
      <c r="G20" s="5">
        <v>0</v>
      </c>
      <c r="H20" s="5">
        <v>0</v>
      </c>
      <c r="I20" s="5">
        <v>0</v>
      </c>
      <c r="J20" s="6">
        <v>0</v>
      </c>
      <c r="K20">
        <f t="shared" si="0"/>
        <v>250</v>
      </c>
    </row>
    <row r="21" spans="3:13" x14ac:dyDescent="0.45">
      <c r="C21" s="2"/>
      <c r="D21" s="2" t="s">
        <v>4</v>
      </c>
      <c r="E21" s="10">
        <v>0</v>
      </c>
      <c r="F21" s="5">
        <v>0</v>
      </c>
      <c r="G21" s="5">
        <v>0</v>
      </c>
      <c r="H21" s="5">
        <v>300</v>
      </c>
      <c r="I21" s="5">
        <v>0</v>
      </c>
      <c r="J21" s="6">
        <v>400</v>
      </c>
      <c r="K21">
        <f t="shared" si="0"/>
        <v>700</v>
      </c>
    </row>
    <row r="22" spans="3:13" x14ac:dyDescent="0.45">
      <c r="D22" s="1" t="s">
        <v>5</v>
      </c>
      <c r="E22" s="10">
        <v>0</v>
      </c>
      <c r="F22" s="5">
        <v>0</v>
      </c>
      <c r="G22" s="5">
        <v>300</v>
      </c>
      <c r="H22" s="5">
        <v>0</v>
      </c>
      <c r="I22" s="5">
        <v>300</v>
      </c>
      <c r="J22" s="6">
        <v>0</v>
      </c>
      <c r="K22">
        <f t="shared" si="0"/>
        <v>600</v>
      </c>
    </row>
    <row r="23" spans="3:13" ht="14.65" thickBot="1" x14ac:dyDescent="0.5">
      <c r="E23" s="11"/>
      <c r="F23" s="7"/>
      <c r="G23" s="7"/>
      <c r="H23" s="7"/>
      <c r="I23" s="7"/>
      <c r="J23" s="8"/>
    </row>
    <row r="24" spans="3:13" ht="14.65" thickBot="1" x14ac:dyDescent="0.5">
      <c r="E24">
        <f>SUMIF(D5:D9,"&gt;0",E18:E22)</f>
        <v>700</v>
      </c>
      <c r="F24">
        <f t="shared" ref="F24:J24" si="1">SUMIF(E5:E9,"&gt;0",F18:F22)</f>
        <v>600</v>
      </c>
      <c r="G24">
        <f t="shared" si="1"/>
        <v>300</v>
      </c>
      <c r="H24">
        <f t="shared" si="1"/>
        <v>300</v>
      </c>
      <c r="I24">
        <f t="shared" si="1"/>
        <v>300</v>
      </c>
      <c r="J24">
        <f t="shared" si="1"/>
        <v>400</v>
      </c>
    </row>
    <row r="25" spans="3:13" x14ac:dyDescent="0.45">
      <c r="D25" s="9"/>
      <c r="E25" s="3"/>
      <c r="F25" s="3"/>
      <c r="G25" s="4"/>
      <c r="J25" s="9"/>
      <c r="K25" s="3"/>
      <c r="L25" s="3"/>
      <c r="M25" s="4"/>
    </row>
    <row r="26" spans="3:13" ht="14.65" thickBot="1" x14ac:dyDescent="0.5">
      <c r="D26" s="11"/>
      <c r="E26" s="7"/>
      <c r="F26" s="7"/>
      <c r="G26" s="8"/>
      <c r="J26" s="11"/>
      <c r="K26" s="7"/>
      <c r="L26" s="7"/>
      <c r="M2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2124-7E4D-4805-9AC3-5C3610B575B5}">
  <dimension ref="C4:M26"/>
  <sheetViews>
    <sheetView workbookViewId="0">
      <selection activeCell="F24" sqref="F24"/>
    </sheetView>
  </sheetViews>
  <sheetFormatPr defaultRowHeight="14.25" x14ac:dyDescent="0.45"/>
  <sheetData>
    <row r="4" spans="3:12" ht="14.65" thickBot="1" x14ac:dyDescent="0.5">
      <c r="C4" s="1"/>
      <c r="D4" s="2" t="s">
        <v>4</v>
      </c>
      <c r="E4" s="2" t="s">
        <v>5</v>
      </c>
      <c r="F4" s="2" t="s">
        <v>0</v>
      </c>
      <c r="G4" s="2" t="s">
        <v>1</v>
      </c>
      <c r="H4" s="2" t="s">
        <v>2</v>
      </c>
      <c r="I4" s="2" t="s">
        <v>3</v>
      </c>
      <c r="J4" s="2" t="s">
        <v>6</v>
      </c>
    </row>
    <row r="5" spans="3:12" x14ac:dyDescent="0.45">
      <c r="C5" s="2" t="s">
        <v>7</v>
      </c>
      <c r="D5" s="9">
        <v>4</v>
      </c>
      <c r="E5" s="3">
        <v>7</v>
      </c>
      <c r="F5" s="3"/>
      <c r="G5" s="3"/>
      <c r="H5" s="3"/>
      <c r="I5" s="4"/>
      <c r="J5">
        <v>450</v>
      </c>
    </row>
    <row r="6" spans="3:12" x14ac:dyDescent="0.45">
      <c r="C6" s="2" t="s">
        <v>8</v>
      </c>
      <c r="D6" s="10">
        <v>8</v>
      </c>
      <c r="E6" s="5">
        <v>5</v>
      </c>
      <c r="F6" s="5"/>
      <c r="G6" s="5"/>
      <c r="H6" s="5"/>
      <c r="I6" s="6"/>
      <c r="J6">
        <v>600</v>
      </c>
    </row>
    <row r="7" spans="3:12" x14ac:dyDescent="0.45">
      <c r="C7" s="2" t="s">
        <v>9</v>
      </c>
      <c r="D7" s="10">
        <v>5</v>
      </c>
      <c r="E7" s="5">
        <v>6</v>
      </c>
      <c r="F7" s="5"/>
      <c r="G7" s="5"/>
      <c r="H7" s="5"/>
      <c r="I7" s="6">
        <v>7</v>
      </c>
      <c r="J7">
        <v>380</v>
      </c>
    </row>
    <row r="8" spans="3:12" x14ac:dyDescent="0.45">
      <c r="C8" s="2" t="s">
        <v>4</v>
      </c>
      <c r="D8" s="10">
        <v>2</v>
      </c>
      <c r="E8" s="13">
        <v>2</v>
      </c>
      <c r="F8" s="5">
        <v>6</v>
      </c>
      <c r="G8" s="5">
        <v>4</v>
      </c>
      <c r="H8" s="5">
        <v>8</v>
      </c>
      <c r="I8" s="6">
        <v>4</v>
      </c>
    </row>
    <row r="9" spans="3:12" x14ac:dyDescent="0.45">
      <c r="C9" s="1" t="s">
        <v>5</v>
      </c>
      <c r="D9" s="10">
        <v>2</v>
      </c>
      <c r="E9" s="13">
        <v>2</v>
      </c>
      <c r="F9" s="5">
        <v>3</v>
      </c>
      <c r="G9" s="5">
        <v>6</v>
      </c>
      <c r="H9" s="5">
        <v>7</v>
      </c>
      <c r="I9" s="6">
        <v>7</v>
      </c>
    </row>
    <row r="10" spans="3:12" ht="14.65" thickBot="1" x14ac:dyDescent="0.5">
      <c r="D10" s="11"/>
      <c r="E10" s="7"/>
      <c r="F10" s="7">
        <v>300</v>
      </c>
      <c r="G10" s="7">
        <v>300</v>
      </c>
      <c r="H10" s="7">
        <v>300</v>
      </c>
      <c r="I10" s="8">
        <v>400</v>
      </c>
    </row>
    <row r="11" spans="3:12" x14ac:dyDescent="0.45">
      <c r="L11">
        <f>SUMPRODUCT(E18:J22,D5:I9)</f>
        <v>14900</v>
      </c>
    </row>
    <row r="17" spans="3:13" ht="14.65" thickBot="1" x14ac:dyDescent="0.5">
      <c r="D17" s="1"/>
      <c r="E17" s="2" t="s">
        <v>4</v>
      </c>
      <c r="F17" s="2" t="s">
        <v>5</v>
      </c>
      <c r="G17" s="2" t="s">
        <v>0</v>
      </c>
      <c r="H17" s="2" t="s">
        <v>1</v>
      </c>
      <c r="I17" s="2" t="s">
        <v>2</v>
      </c>
      <c r="J17" s="2" t="s">
        <v>3</v>
      </c>
    </row>
    <row r="18" spans="3:13" x14ac:dyDescent="0.45">
      <c r="D18" s="2" t="s">
        <v>7</v>
      </c>
      <c r="E18" s="9">
        <v>0</v>
      </c>
      <c r="F18" s="3">
        <v>450</v>
      </c>
      <c r="G18" s="3">
        <v>0</v>
      </c>
      <c r="H18" s="3">
        <v>0</v>
      </c>
      <c r="I18" s="3">
        <v>0</v>
      </c>
      <c r="J18" s="4">
        <v>0</v>
      </c>
      <c r="K18">
        <f>SUMIF(D5:I5,"&gt;0",E18:J18)</f>
        <v>450</v>
      </c>
    </row>
    <row r="19" spans="3:13" x14ac:dyDescent="0.45">
      <c r="C19" s="1"/>
      <c r="D19" s="2" t="s">
        <v>8</v>
      </c>
      <c r="E19" s="10">
        <v>300</v>
      </c>
      <c r="F19" s="5">
        <v>170</v>
      </c>
      <c r="G19" s="5">
        <v>0</v>
      </c>
      <c r="H19" s="5">
        <v>0</v>
      </c>
      <c r="I19" s="5">
        <v>0</v>
      </c>
      <c r="J19" s="6">
        <v>0</v>
      </c>
      <c r="K19">
        <f t="shared" ref="K19:K22" si="0">SUMIF(D6:I6,"&gt;0",E19:J19)</f>
        <v>470</v>
      </c>
    </row>
    <row r="20" spans="3:13" x14ac:dyDescent="0.45">
      <c r="C20" s="2"/>
      <c r="D20" s="2" t="s">
        <v>9</v>
      </c>
      <c r="E20" s="10">
        <v>0</v>
      </c>
      <c r="F20" s="5">
        <v>0</v>
      </c>
      <c r="G20" s="5">
        <v>0</v>
      </c>
      <c r="H20" s="5">
        <v>0</v>
      </c>
      <c r="I20" s="5">
        <v>0</v>
      </c>
      <c r="J20" s="6">
        <v>380</v>
      </c>
      <c r="K20">
        <f t="shared" si="0"/>
        <v>380</v>
      </c>
    </row>
    <row r="21" spans="3:13" x14ac:dyDescent="0.45">
      <c r="C21" s="2"/>
      <c r="D21" s="2" t="s">
        <v>4</v>
      </c>
      <c r="E21" s="10">
        <v>0</v>
      </c>
      <c r="F21" s="5">
        <v>0</v>
      </c>
      <c r="G21" s="5">
        <v>300</v>
      </c>
      <c r="H21" s="5">
        <v>0</v>
      </c>
      <c r="I21" s="5">
        <v>0</v>
      </c>
      <c r="J21" s="6">
        <v>0</v>
      </c>
      <c r="K21">
        <f t="shared" si="0"/>
        <v>300</v>
      </c>
    </row>
    <row r="22" spans="3:13" x14ac:dyDescent="0.45">
      <c r="D22" s="1" t="s">
        <v>5</v>
      </c>
      <c r="E22" s="10">
        <v>0</v>
      </c>
      <c r="F22" s="5">
        <v>0</v>
      </c>
      <c r="G22" s="5">
        <v>0</v>
      </c>
      <c r="H22" s="5">
        <v>300</v>
      </c>
      <c r="I22" s="5">
        <v>300</v>
      </c>
      <c r="J22" s="6">
        <v>20</v>
      </c>
      <c r="K22">
        <f t="shared" si="0"/>
        <v>620</v>
      </c>
    </row>
    <row r="23" spans="3:13" ht="14.65" thickBot="1" x14ac:dyDescent="0.5">
      <c r="E23" s="11"/>
      <c r="F23" s="7"/>
      <c r="G23" s="7"/>
      <c r="H23" s="7"/>
      <c r="I23" s="7"/>
      <c r="J23" s="8"/>
    </row>
    <row r="24" spans="3:13" ht="14.65" thickBot="1" x14ac:dyDescent="0.5">
      <c r="E24">
        <f>SUMIF(D5:D9,"&gt;0",E18:E22)</f>
        <v>300</v>
      </c>
      <c r="F24">
        <f t="shared" ref="F24:J24" si="1">SUMIF(E5:E9,"&gt;0",F18:F22)</f>
        <v>620</v>
      </c>
      <c r="G24">
        <f t="shared" si="1"/>
        <v>300</v>
      </c>
      <c r="H24">
        <f t="shared" si="1"/>
        <v>300</v>
      </c>
      <c r="I24">
        <f t="shared" si="1"/>
        <v>300</v>
      </c>
      <c r="J24">
        <f t="shared" si="1"/>
        <v>400</v>
      </c>
    </row>
    <row r="25" spans="3:13" x14ac:dyDescent="0.45">
      <c r="D25" s="9"/>
      <c r="E25" s="3"/>
      <c r="F25" s="3"/>
      <c r="G25" s="4"/>
      <c r="J25" s="9"/>
      <c r="K25" s="3"/>
      <c r="L25" s="3"/>
      <c r="M25" s="4"/>
    </row>
    <row r="26" spans="3:13" ht="14.65" thickBot="1" x14ac:dyDescent="0.5">
      <c r="D26" s="11"/>
      <c r="E26" s="7"/>
      <c r="F26" s="7"/>
      <c r="G26" s="8"/>
      <c r="J26" s="11"/>
      <c r="K26" s="7"/>
      <c r="L26" s="7"/>
      <c r="M2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3209-1A90-4E2F-B586-E9D33EDB6DE5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KUNAL</dc:creator>
  <cp:lastModifiedBy>KISHORE KUNAL</cp:lastModifiedBy>
  <dcterms:created xsi:type="dcterms:W3CDTF">2026-01-22T09:19:58Z</dcterms:created>
  <dcterms:modified xsi:type="dcterms:W3CDTF">2026-01-22T10:10:10Z</dcterms:modified>
</cp:coreProperties>
</file>