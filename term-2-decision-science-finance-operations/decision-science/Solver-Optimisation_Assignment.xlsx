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ef31d95b556acc0c/Desktop/PGDM_BM/Term 2/Decision Science/"/>
    </mc:Choice>
  </mc:AlternateContent>
  <xr:revisionPtr revIDLastSave="1" documentId="8_{A5AE8C54-9F19-405A-9742-7C0A7F914CBF}" xr6:coauthVersionLast="47" xr6:coauthVersionMax="47" xr10:uidLastSave="{F3960090-47A1-4B63-943A-BC7E06516349}"/>
  <bookViews>
    <workbookView xWindow="-98" yWindow="-98" windowWidth="21795" windowHeight="12975" activeTab="3" xr2:uid="{B7E1A89C-F077-473A-A2D1-804BCAF5F7F2}"/>
  </bookViews>
  <sheets>
    <sheet name="Answer Report 1" sheetId="2" r:id="rId1"/>
    <sheet name="Sensitivity Report 1" sheetId="3" r:id="rId2"/>
    <sheet name="Limits Report 1" sheetId="4" r:id="rId3"/>
    <sheet name="Sheet1" sheetId="1" r:id="rId4"/>
  </sheets>
  <definedNames>
    <definedName name="solver_adj" localSheetId="3" hidden="1">Sheet1!$R$25:$AC$29</definedName>
    <definedName name="solver_cvg" localSheetId="3" hidden="1">0.0001</definedName>
    <definedName name="solver_drv" localSheetId="3" hidden="1">2</definedName>
    <definedName name="solver_eng" localSheetId="3" hidden="1">2</definedName>
    <definedName name="solver_est" localSheetId="3" hidden="1">1</definedName>
    <definedName name="solver_itr" localSheetId="3" hidden="1">2147483647</definedName>
    <definedName name="solver_lhs1" localSheetId="3" hidden="1">Sheet1!$AD$25:$AD$26</definedName>
    <definedName name="solver_lhs2" localSheetId="3" hidden="1">Sheet1!$AD$27:$AD$29</definedName>
    <definedName name="solver_lhs3" localSheetId="3" hidden="1">Sheet1!$R$30:$Z$30</definedName>
    <definedName name="solver_lhs4" localSheetId="3" hidden="1">Sheet1!$R$42:$Z$42</definedName>
    <definedName name="solver_lhs5" localSheetId="3" hidden="1">Sheet1!$R$42:$Z$42</definedName>
    <definedName name="solver_lhs6" localSheetId="3" hidden="1">Sheet1!$R$42:$Z$42</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3</definedName>
    <definedName name="solver_nwt" localSheetId="3" hidden="1">1</definedName>
    <definedName name="solver_opt" localSheetId="3" hidden="1">Sheet1!$AG$25</definedName>
    <definedName name="solver_pre" localSheetId="3" hidden="1">0.000001</definedName>
    <definedName name="solver_rbv" localSheetId="3" hidden="1">2</definedName>
    <definedName name="solver_rel1" localSheetId="3" hidden="1">1</definedName>
    <definedName name="solver_rel2" localSheetId="3" hidden="1">2</definedName>
    <definedName name="solver_rel3" localSheetId="3" hidden="1">2</definedName>
    <definedName name="solver_rel4" localSheetId="3" hidden="1">2</definedName>
    <definedName name="solver_rel5" localSheetId="3" hidden="1">2</definedName>
    <definedName name="solver_rel6" localSheetId="3" hidden="1">2</definedName>
    <definedName name="solver_rhs1" localSheetId="3" hidden="1">Sheet1!$O$25:$O$26</definedName>
    <definedName name="solver_rhs2" localSheetId="3" hidden="1">Sheet1!$AA$30:$AC$30</definedName>
    <definedName name="solver_rhs3" localSheetId="3" hidden="1">Sheet1!$C$30:$K$30</definedName>
    <definedName name="solver_rhs4" localSheetId="3" hidden="1">Sheet1!$C$42:$K$42</definedName>
    <definedName name="solver_rhs5" localSheetId="3" hidden="1">Sheet1!$C$42:$K$42</definedName>
    <definedName name="solver_rhs6" localSheetId="3" hidden="1">Sheet1!$C$42:$K$42</definedName>
    <definedName name="solver_rlx" localSheetId="3" hidden="1">2</definedName>
    <definedName name="solver_rsd" localSheetId="3" hidden="1">0</definedName>
    <definedName name="solver_scl" localSheetId="3" hidden="1">2</definedName>
    <definedName name="solver_sho" localSheetId="2" hidden="1">2</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G37" i="1" l="1"/>
  <c r="S53" i="1" l="1"/>
  <c r="T53" i="1"/>
  <c r="U53" i="1"/>
  <c r="V53" i="1"/>
  <c r="W53" i="1"/>
  <c r="X53" i="1"/>
  <c r="Y53" i="1"/>
  <c r="Z53" i="1"/>
  <c r="AA53" i="1"/>
  <c r="AB53" i="1"/>
  <c r="AC53" i="1"/>
  <c r="R53" i="1"/>
  <c r="AD49" i="1"/>
  <c r="AD50" i="1"/>
  <c r="AD51" i="1"/>
  <c r="AD52" i="1"/>
  <c r="AD48" i="1"/>
  <c r="AG47" i="1" s="1"/>
  <c r="AC42" i="1" l="1"/>
  <c r="AB42" i="1"/>
  <c r="AA42" i="1"/>
  <c r="Z42" i="1"/>
  <c r="Y42" i="1"/>
  <c r="X42" i="1"/>
  <c r="W42" i="1"/>
  <c r="V42" i="1"/>
  <c r="U42" i="1"/>
  <c r="T42" i="1"/>
  <c r="S42" i="1"/>
  <c r="R42" i="1"/>
  <c r="AD41" i="1"/>
  <c r="AD40" i="1"/>
  <c r="AD39" i="1"/>
  <c r="AD38" i="1"/>
  <c r="AD37" i="1"/>
  <c r="S30" i="1"/>
  <c r="T30" i="1"/>
  <c r="U30" i="1"/>
  <c r="V30" i="1"/>
  <c r="W30" i="1"/>
  <c r="X30" i="1"/>
  <c r="Y30" i="1"/>
  <c r="Z30" i="1"/>
  <c r="AA30" i="1"/>
  <c r="AB30" i="1"/>
  <c r="AC30" i="1"/>
  <c r="R30" i="1"/>
  <c r="AD26" i="1"/>
  <c r="AD27" i="1"/>
  <c r="AD28" i="1"/>
  <c r="AD29" i="1"/>
  <c r="AD25" i="1"/>
  <c r="AG25" i="1" l="1"/>
</calcChain>
</file>

<file path=xl/sharedStrings.xml><?xml version="1.0" encoding="utf-8"?>
<sst xmlns="http://schemas.openxmlformats.org/spreadsheetml/2006/main" count="786" uniqueCount="233">
  <si>
    <t>Capacity</t>
  </si>
  <si>
    <t>El Paso</t>
  </si>
  <si>
    <t xml:space="preserve">San Bernard </t>
  </si>
  <si>
    <t>Plant</t>
  </si>
  <si>
    <t>Fort Worth</t>
  </si>
  <si>
    <t>Santa Fe</t>
  </si>
  <si>
    <t>Las Vegas</t>
  </si>
  <si>
    <t>Sab bernard</t>
  </si>
  <si>
    <t>-</t>
  </si>
  <si>
    <t>Demand</t>
  </si>
  <si>
    <t>Dallas</t>
  </si>
  <si>
    <t>San Antonio</t>
  </si>
  <si>
    <t>Wichita</t>
  </si>
  <si>
    <t>Kansas</t>
  </si>
  <si>
    <t>Denver</t>
  </si>
  <si>
    <t>Salt Lake</t>
  </si>
  <si>
    <t>Phoenix</t>
  </si>
  <si>
    <t>LA</t>
  </si>
  <si>
    <t>San Diego</t>
  </si>
  <si>
    <t>City Name</t>
  </si>
  <si>
    <t xml:space="preserve">Q1 </t>
  </si>
  <si>
    <t>Shipping cost to distribution centre</t>
  </si>
  <si>
    <t>Shipping Cost to demand city</t>
  </si>
  <si>
    <t>Demand of each city</t>
  </si>
  <si>
    <t>ProductionCost /unit</t>
  </si>
  <si>
    <t>As per current Model</t>
  </si>
  <si>
    <t>Cost</t>
  </si>
  <si>
    <t xml:space="preserve">Q2 </t>
  </si>
  <si>
    <t>Improvised Model</t>
  </si>
  <si>
    <t>San Bernard</t>
  </si>
  <si>
    <t>TC</t>
  </si>
  <si>
    <t>Q3</t>
  </si>
  <si>
    <t>Direct to consumer model</t>
  </si>
  <si>
    <t>Q4</t>
  </si>
  <si>
    <t>1. Lower Manufacturing Costs (The $0.50 Advantage) The San Bernardino plant produces each meter for $10.00, while the El Paso plant costs $10.50. By expanding San Bernardino, the company can produce the 5,000 additional units at a lower base cost. This represents a guaranteed savings of $2,500 per quarter ($0.50 × 5,000 units) in manufacturing costs alone, regardless of where the units are shipped 2. Current Capacity Utilization - It is better utilise it distribution channel to work on the lowest possible cost as per the question 3                                                                                                                                                                                                                              In the optimized distribution models (Questions 2 and 3), the San Bernardino plant is already operating at 100% capacity (20,000/20,000 units). In contrast, the El Paso plant has significant idle capacity (currently using only about 21,260 of its 30,000-unit capacity). Expanding El Paso would only add more "expensive" capacity to a plant that isn't even full yet. Expanding San Bernardino allows the company to shift more production to the more efficient facility.                                                                         3. Strategic Proximity to Growth Markets                                                                                                                                                                                                        The growth of 5,000 units is expected in the North and West regions. San Bernardino is strategically positioned to serve the high-volume West Coast markets (Los Angeles and San Diego) through extremely low direct-shipping costs ($0.30–$0.70). Shipping growth volume from El Paso to the West would incur higher shipping rates and the $0.50 manufacturing penalty, leading to a much higher Total Landed Cost.</t>
  </si>
  <si>
    <t>Microsoft Excel 16.0 Answer Report</t>
  </si>
  <si>
    <t>Worksheet: [Book1]Sheet1</t>
  </si>
  <si>
    <t>Report Created: 2026-01-29 00:19:11</t>
  </si>
  <si>
    <t>Result: Solver found a solution.  All Constraints and optimality conditions are satisfied.</t>
  </si>
  <si>
    <t>Solver Engine</t>
  </si>
  <si>
    <t>Engine: Simplex LP</t>
  </si>
  <si>
    <t>Solution Time: 0.156 Seconds.</t>
  </si>
  <si>
    <t>Iterations: 19 Subproblems: 0</t>
  </si>
  <si>
    <t>Solver Options</t>
  </si>
  <si>
    <t>Max Time Unlimited,  Iterations Unlimited, Precision 0.000001</t>
  </si>
  <si>
    <t>Max Subproblems Unlimited, Max Integer Sols Unlimited, Integer Tolerance 1%, Assume NonNegative</t>
  </si>
  <si>
    <t>Objective Cell (Min)</t>
  </si>
  <si>
    <t>Cell</t>
  </si>
  <si>
    <t>Name</t>
  </si>
  <si>
    <t>Original Value</t>
  </si>
  <si>
    <t>Final Value</t>
  </si>
  <si>
    <t>Variable Cells</t>
  </si>
  <si>
    <t>Integer</t>
  </si>
  <si>
    <t>Constraints</t>
  </si>
  <si>
    <t>Cell Value</t>
  </si>
  <si>
    <t>Formula</t>
  </si>
  <si>
    <t>Status</t>
  </si>
  <si>
    <t>Slack</t>
  </si>
  <si>
    <t>$AG$47</t>
  </si>
  <si>
    <t>$R$48</t>
  </si>
  <si>
    <t>El Paso Dallas</t>
  </si>
  <si>
    <t>Contin</t>
  </si>
  <si>
    <t>$S$48</t>
  </si>
  <si>
    <t>El Paso San Antonio</t>
  </si>
  <si>
    <t>$T$48</t>
  </si>
  <si>
    <t>El Paso Wichita</t>
  </si>
  <si>
    <t>$U$48</t>
  </si>
  <si>
    <t>El Paso Kansas</t>
  </si>
  <si>
    <t>$V$48</t>
  </si>
  <si>
    <t>El Paso Denver</t>
  </si>
  <si>
    <t>$W$48</t>
  </si>
  <si>
    <t>El Paso Salt Lake</t>
  </si>
  <si>
    <t>$X$48</t>
  </si>
  <si>
    <t>El Paso Phoenix</t>
  </si>
  <si>
    <t>$Y$48</t>
  </si>
  <si>
    <t>El Paso LA</t>
  </si>
  <si>
    <t>$Z$48</t>
  </si>
  <si>
    <t>El Paso San Diego</t>
  </si>
  <si>
    <t>$AA$48</t>
  </si>
  <si>
    <t>El Paso Fort Worth</t>
  </si>
  <si>
    <t>$AB$48</t>
  </si>
  <si>
    <t>El Paso Santa Fe</t>
  </si>
  <si>
    <t>$AC$48</t>
  </si>
  <si>
    <t>El Paso Las Vegas</t>
  </si>
  <si>
    <t>$R$49</t>
  </si>
  <si>
    <t>San Bernard Dallas</t>
  </si>
  <si>
    <t>$S$49</t>
  </si>
  <si>
    <t>San Bernard San Antonio</t>
  </si>
  <si>
    <t>$T$49</t>
  </si>
  <si>
    <t>San Bernard Wichita</t>
  </si>
  <si>
    <t>$U$49</t>
  </si>
  <si>
    <t>San Bernard Kansas</t>
  </si>
  <si>
    <t>$V$49</t>
  </si>
  <si>
    <t>San Bernard Denver</t>
  </si>
  <si>
    <t>$W$49</t>
  </si>
  <si>
    <t>San Bernard Salt Lake</t>
  </si>
  <si>
    <t>$X$49</t>
  </si>
  <si>
    <t>San Bernard Phoenix</t>
  </si>
  <si>
    <t>$Y$49</t>
  </si>
  <si>
    <t>San Bernard LA</t>
  </si>
  <si>
    <t>$Z$49</t>
  </si>
  <si>
    <t>San Bernard San Diego</t>
  </si>
  <si>
    <t>$AA$49</t>
  </si>
  <si>
    <t>San Bernard Fort Worth</t>
  </si>
  <si>
    <t>$AB$49</t>
  </si>
  <si>
    <t>San Bernard Santa Fe</t>
  </si>
  <si>
    <t>$AC$49</t>
  </si>
  <si>
    <t>San Bernard Las Vegas</t>
  </si>
  <si>
    <t>$R$50</t>
  </si>
  <si>
    <t>Fort Worth Dallas</t>
  </si>
  <si>
    <t>$S$50</t>
  </si>
  <si>
    <t>Fort Worth San Antonio</t>
  </si>
  <si>
    <t>$T$50</t>
  </si>
  <si>
    <t>Fort Worth Wichita</t>
  </si>
  <si>
    <t>$U$50</t>
  </si>
  <si>
    <t>Fort Worth Kansas</t>
  </si>
  <si>
    <t>$V$50</t>
  </si>
  <si>
    <t>Fort Worth Denver</t>
  </si>
  <si>
    <t>$W$50</t>
  </si>
  <si>
    <t>Fort Worth Salt Lake</t>
  </si>
  <si>
    <t>$X$50</t>
  </si>
  <si>
    <t>Fort Worth Phoenix</t>
  </si>
  <si>
    <t>$Y$50</t>
  </si>
  <si>
    <t>Fort Worth LA</t>
  </si>
  <si>
    <t>$Z$50</t>
  </si>
  <si>
    <t>Fort Worth San Diego</t>
  </si>
  <si>
    <t>$AA$50</t>
  </si>
  <si>
    <t>Fort Worth Fort Worth</t>
  </si>
  <si>
    <t>$AB$50</t>
  </si>
  <si>
    <t>Fort Worth Santa Fe</t>
  </si>
  <si>
    <t>$AC$50</t>
  </si>
  <si>
    <t>Fort Worth Las Vegas</t>
  </si>
  <si>
    <t>$R$51</t>
  </si>
  <si>
    <t>Santa Fe Dallas</t>
  </si>
  <si>
    <t>$S$51</t>
  </si>
  <si>
    <t>Santa Fe San Antonio</t>
  </si>
  <si>
    <t>$T$51</t>
  </si>
  <si>
    <t>Santa Fe Wichita</t>
  </si>
  <si>
    <t>$U$51</t>
  </si>
  <si>
    <t>Santa Fe Kansas</t>
  </si>
  <si>
    <t>$V$51</t>
  </si>
  <si>
    <t>Santa Fe Denver</t>
  </si>
  <si>
    <t>$W$51</t>
  </si>
  <si>
    <t>Santa Fe Salt Lake</t>
  </si>
  <si>
    <t>$X$51</t>
  </si>
  <si>
    <t>Santa Fe Phoenix</t>
  </si>
  <si>
    <t>$Y$51</t>
  </si>
  <si>
    <t>Santa Fe LA</t>
  </si>
  <si>
    <t>$Z$51</t>
  </si>
  <si>
    <t>Santa Fe San Diego</t>
  </si>
  <si>
    <t>$AA$51</t>
  </si>
  <si>
    <t>Santa Fe Fort Worth</t>
  </si>
  <si>
    <t>$AB$51</t>
  </si>
  <si>
    <t>Santa Fe Santa Fe</t>
  </si>
  <si>
    <t>$AC$51</t>
  </si>
  <si>
    <t>Santa Fe Las Vegas</t>
  </si>
  <si>
    <t>$R$52</t>
  </si>
  <si>
    <t>Las Vegas Dallas</t>
  </si>
  <si>
    <t>$S$52</t>
  </si>
  <si>
    <t>Las Vegas San Antonio</t>
  </si>
  <si>
    <t>$T$52</t>
  </si>
  <si>
    <t>Las Vegas Wichita</t>
  </si>
  <si>
    <t>$U$52</t>
  </si>
  <si>
    <t>Las Vegas Kansas</t>
  </si>
  <si>
    <t>$V$52</t>
  </si>
  <si>
    <t>Las Vegas Denver</t>
  </si>
  <si>
    <t>$W$52</t>
  </si>
  <si>
    <t>Las Vegas Salt Lake</t>
  </si>
  <si>
    <t>$X$52</t>
  </si>
  <si>
    <t>Las Vegas Phoenix</t>
  </si>
  <si>
    <t>$Y$52</t>
  </si>
  <si>
    <t>Las Vegas LA</t>
  </si>
  <si>
    <t>$Z$52</t>
  </si>
  <si>
    <t>Las Vegas San Diego</t>
  </si>
  <si>
    <t>$AA$52</t>
  </si>
  <si>
    <t>Las Vegas Fort Worth</t>
  </si>
  <si>
    <t>$AB$52</t>
  </si>
  <si>
    <t>Las Vegas Santa Fe</t>
  </si>
  <si>
    <t>$AC$52</t>
  </si>
  <si>
    <t>Las Vegas Las Vegas</t>
  </si>
  <si>
    <t>$AD$48</t>
  </si>
  <si>
    <t>$AD$48&lt;=$O$48</t>
  </si>
  <si>
    <t>Not Binding</t>
  </si>
  <si>
    <t>$AD$49</t>
  </si>
  <si>
    <t>$AD$49&lt;=$O$49</t>
  </si>
  <si>
    <t>Binding</t>
  </si>
  <si>
    <t>$AD$50</t>
  </si>
  <si>
    <t>$AD$50=$AA$53</t>
  </si>
  <si>
    <t>$AD$51</t>
  </si>
  <si>
    <t>$AD$51=$AB$53</t>
  </si>
  <si>
    <t>$AD$52</t>
  </si>
  <si>
    <t>$AD$52=$AC$53</t>
  </si>
  <si>
    <t>$R$53</t>
  </si>
  <si>
    <t>$R$53=$C$53</t>
  </si>
  <si>
    <t>$S$53</t>
  </si>
  <si>
    <t>$S$53=$D$53</t>
  </si>
  <si>
    <t>$T$53</t>
  </si>
  <si>
    <t>$T$53=$E$53</t>
  </si>
  <si>
    <t>$U$53</t>
  </si>
  <si>
    <t>$U$53=$F$53</t>
  </si>
  <si>
    <t>$V$53</t>
  </si>
  <si>
    <t>$V$53=$G$53</t>
  </si>
  <si>
    <t>$W$53</t>
  </si>
  <si>
    <t>$W$53=$H$53</t>
  </si>
  <si>
    <t>$X$53</t>
  </si>
  <si>
    <t>$X$53=$I$53</t>
  </si>
  <si>
    <t>$Y$53</t>
  </si>
  <si>
    <t>$Y$53=$J$53</t>
  </si>
  <si>
    <t>$Z$53</t>
  </si>
  <si>
    <t>$Z$53=$K$53</t>
  </si>
  <si>
    <t>$R$48:$AC$52</t>
  </si>
  <si>
    <t>$AD$50:$AD$52 = $AA$53:$AC$53</t>
  </si>
  <si>
    <t>$R$53:$Z$53 = $C$53:$K$53</t>
  </si>
  <si>
    <t>Microsoft Excel 16.0 Sensitivity Report</t>
  </si>
  <si>
    <t>Final</t>
  </si>
  <si>
    <t>Value</t>
  </si>
  <si>
    <t>Reduced</t>
  </si>
  <si>
    <t>Objective</t>
  </si>
  <si>
    <t>Coefficient</t>
  </si>
  <si>
    <t>Allowable</t>
  </si>
  <si>
    <t>Increase</t>
  </si>
  <si>
    <t>Decrease</t>
  </si>
  <si>
    <t>Shadow</t>
  </si>
  <si>
    <t>Price</t>
  </si>
  <si>
    <t>Constraint</t>
  </si>
  <si>
    <t>R.H. Side</t>
  </si>
  <si>
    <t>Microsoft Excel 16.0 Limits Report</t>
  </si>
  <si>
    <t>Report Created: 2026-01-29 00:19:12</t>
  </si>
  <si>
    <t>Variable</t>
  </si>
  <si>
    <t>Lower</t>
  </si>
  <si>
    <t>Limit</t>
  </si>
  <si>
    <t>Result</t>
  </si>
  <si>
    <t>Upper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</si>
</sst>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indexed="18"/>
      <name val="Calibri"/>
      <family val="2"/>
      <scheme val="minor"/>
    </font>
    <font>
      <b/>
      <sz val="11"/>
      <name val="Calibri"/>
      <family val="2"/>
      <scheme val="minor"/>
    </font>
  </fonts>
  <fills count="3">
    <fill>
      <patternFill patternType="none"/>
    </fill>
    <fill>
      <patternFill patternType="gray125"/>
    </fill>
    <fill>
      <patternFill patternType="solid">
        <fgColor rgb="FFFFFF00"/>
        <bgColor indexed="64"/>
      </patternFill>
    </fill>
  </fills>
  <borders count="1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23"/>
      </top>
      <bottom/>
      <diagonal/>
    </border>
    <border>
      <left/>
      <right/>
      <top/>
      <bottom style="medium">
        <color indexed="23"/>
      </bottom>
      <diagonal/>
    </border>
    <border>
      <left/>
      <right/>
      <top style="medium">
        <color indexed="23"/>
      </top>
      <bottom style="medium">
        <color indexed="23"/>
      </bottom>
      <diagonal/>
    </border>
    <border>
      <left/>
      <right/>
      <top style="thin">
        <color indexed="23"/>
      </top>
      <bottom style="medium">
        <color indexed="23"/>
      </bottom>
      <diagonal/>
    </border>
    <border>
      <left/>
      <right/>
      <top style="thin">
        <color indexed="23"/>
      </top>
      <bottom/>
      <diagonal/>
    </border>
  </borders>
  <cellStyleXfs count="1">
    <xf numFmtId="0" fontId="0" fillId="0" borderId="0"/>
  </cellStyleXfs>
  <cellXfs count="25">
    <xf numFmtId="0" fontId="0" fillId="0" borderId="0" xfId="0"/>
    <xf numFmtId="0" fontId="0" fillId="2"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0" xfId="0" applyFont="1"/>
    <xf numFmtId="0" fontId="0" fillId="0" borderId="12" xfId="0" applyFill="1" applyBorder="1" applyAlignment="1"/>
    <xf numFmtId="0" fontId="2" fillId="0" borderId="11" xfId="0" applyFont="1" applyFill="1" applyBorder="1" applyAlignment="1">
      <alignment horizontal="center"/>
    </xf>
    <xf numFmtId="0" fontId="0" fillId="0" borderId="0" xfId="0" applyFill="1" applyBorder="1" applyAlignment="1"/>
    <xf numFmtId="0" fontId="0" fillId="0" borderId="13" xfId="0" applyFill="1" applyBorder="1" applyAlignment="1"/>
    <xf numFmtId="0" fontId="0" fillId="0" borderId="12" xfId="0" applyNumberFormat="1" applyFill="1" applyBorder="1" applyAlignment="1"/>
    <xf numFmtId="0" fontId="0" fillId="0" borderId="13" xfId="0" applyNumberFormat="1" applyFill="1" applyBorder="1" applyAlignment="1"/>
    <xf numFmtId="0" fontId="0" fillId="0" borderId="0" xfId="0" applyNumberFormat="1" applyFill="1" applyBorder="1" applyAlignment="1"/>
    <xf numFmtId="0" fontId="2" fillId="0" borderId="0" xfId="0" applyFont="1" applyFill="1" applyBorder="1" applyAlignment="1">
      <alignment horizontal="center"/>
    </xf>
    <xf numFmtId="0" fontId="3" fillId="0" borderId="0" xfId="0" applyFont="1" applyFill="1" applyBorder="1" applyAlignment="1">
      <alignment horizontal="left"/>
    </xf>
    <xf numFmtId="0" fontId="3" fillId="0" borderId="13" xfId="0" applyFont="1" applyFill="1" applyBorder="1" applyAlignment="1">
      <alignment horizontal="left"/>
    </xf>
    <xf numFmtId="0" fontId="2" fillId="0" borderId="9" xfId="0" applyFont="1" applyFill="1" applyBorder="1" applyAlignment="1">
      <alignment horizontal="center"/>
    </xf>
    <xf numFmtId="0" fontId="2" fillId="0" borderId="10" xfId="0" applyFont="1" applyFill="1" applyBorder="1" applyAlignment="1">
      <alignment horizontal="center"/>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7980D-584E-447B-9E31-3D2842B33474}">
  <dimension ref="A1:G104"/>
  <sheetViews>
    <sheetView showGridLines="0" workbookViewId="0"/>
  </sheetViews>
  <sheetFormatPr defaultRowHeight="14.25" outlineLevelRow="1" x14ac:dyDescent="0.45"/>
  <cols>
    <col min="1" max="1" width="2.1328125" customWidth="1"/>
    <col min="2" max="2" width="7.06640625" bestFit="1" customWidth="1"/>
    <col min="3" max="3" width="20.3984375" bestFit="1" customWidth="1"/>
    <col min="4" max="4" width="12.1328125" bestFit="1" customWidth="1"/>
    <col min="5" max="5" width="14.33203125" bestFit="1" customWidth="1"/>
    <col min="6" max="6" width="10.06640625" bestFit="1" customWidth="1"/>
    <col min="7" max="7" width="4.796875" bestFit="1" customWidth="1"/>
  </cols>
  <sheetData>
    <row r="1" spans="1:5" x14ac:dyDescent="0.45">
      <c r="A1" s="11" t="s">
        <v>35</v>
      </c>
    </row>
    <row r="2" spans="1:5" x14ac:dyDescent="0.45">
      <c r="A2" s="11" t="s">
        <v>36</v>
      </c>
    </row>
    <row r="3" spans="1:5" x14ac:dyDescent="0.45">
      <c r="A3" s="11" t="s">
        <v>37</v>
      </c>
    </row>
    <row r="4" spans="1:5" x14ac:dyDescent="0.45">
      <c r="A4" s="11" t="s">
        <v>38</v>
      </c>
    </row>
    <row r="5" spans="1:5" x14ac:dyDescent="0.45">
      <c r="A5" s="11" t="s">
        <v>39</v>
      </c>
    </row>
    <row r="6" spans="1:5" hidden="1" outlineLevel="1" x14ac:dyDescent="0.45">
      <c r="A6" s="11"/>
      <c r="B6" t="s">
        <v>40</v>
      </c>
    </row>
    <row r="7" spans="1:5" hidden="1" outlineLevel="1" x14ac:dyDescent="0.45">
      <c r="A7" s="11"/>
      <c r="B7" t="s">
        <v>41</v>
      </c>
    </row>
    <row r="8" spans="1:5" hidden="1" outlineLevel="1" x14ac:dyDescent="0.45">
      <c r="A8" s="11"/>
      <c r="B8" t="s">
        <v>42</v>
      </c>
    </row>
    <row r="9" spans="1:5" collapsed="1" x14ac:dyDescent="0.45">
      <c r="A9" s="11" t="s">
        <v>43</v>
      </c>
    </row>
    <row r="10" spans="1:5" hidden="1" outlineLevel="1" x14ac:dyDescent="0.45">
      <c r="B10" t="s">
        <v>44</v>
      </c>
    </row>
    <row r="11" spans="1:5" hidden="1" outlineLevel="1" x14ac:dyDescent="0.45">
      <c r="B11" t="s">
        <v>45</v>
      </c>
    </row>
    <row r="12" spans="1:5" collapsed="1" x14ac:dyDescent="0.45"/>
    <row r="14" spans="1:5" ht="14.65" thickBot="1" x14ac:dyDescent="0.5">
      <c r="A14" t="s">
        <v>46</v>
      </c>
    </row>
    <row r="15" spans="1:5" ht="14.65" thickBot="1" x14ac:dyDescent="0.5">
      <c r="B15" s="13" t="s">
        <v>47</v>
      </c>
      <c r="C15" s="13" t="s">
        <v>48</v>
      </c>
      <c r="D15" s="13" t="s">
        <v>49</v>
      </c>
      <c r="E15" s="13" t="s">
        <v>50</v>
      </c>
    </row>
    <row r="16" spans="1:5" ht="14.65" thickBot="1" x14ac:dyDescent="0.5">
      <c r="B16" s="12" t="s">
        <v>58</v>
      </c>
      <c r="C16" s="12" t="s">
        <v>30</v>
      </c>
      <c r="D16" s="16">
        <v>130304</v>
      </c>
      <c r="E16" s="16">
        <v>130304</v>
      </c>
    </row>
    <row r="19" spans="1:6" ht="14.65" thickBot="1" x14ac:dyDescent="0.5">
      <c r="A19" t="s">
        <v>51</v>
      </c>
    </row>
    <row r="20" spans="1:6" ht="14.65" thickBot="1" x14ac:dyDescent="0.5">
      <c r="B20" s="13" t="s">
        <v>47</v>
      </c>
      <c r="C20" s="13" t="s">
        <v>48</v>
      </c>
      <c r="D20" s="13" t="s">
        <v>49</v>
      </c>
      <c r="E20" s="13" t="s">
        <v>50</v>
      </c>
      <c r="F20" s="13" t="s">
        <v>52</v>
      </c>
    </row>
    <row r="21" spans="1:6" x14ac:dyDescent="0.45">
      <c r="B21" s="20" t="s">
        <v>210</v>
      </c>
      <c r="C21" s="19"/>
      <c r="D21" s="19"/>
      <c r="E21" s="19"/>
      <c r="F21" s="19"/>
    </row>
    <row r="22" spans="1:6" hidden="1" outlineLevel="1" x14ac:dyDescent="0.45">
      <c r="B22" s="15" t="s">
        <v>59</v>
      </c>
      <c r="C22" s="15" t="s">
        <v>60</v>
      </c>
      <c r="D22" s="17">
        <v>0</v>
      </c>
      <c r="E22" s="17">
        <v>0</v>
      </c>
      <c r="F22" s="15" t="s">
        <v>61</v>
      </c>
    </row>
    <row r="23" spans="1:6" hidden="1" outlineLevel="1" x14ac:dyDescent="0.45">
      <c r="B23" s="15" t="s">
        <v>62</v>
      </c>
      <c r="C23" s="15" t="s">
        <v>63</v>
      </c>
      <c r="D23" s="17">
        <v>4880</v>
      </c>
      <c r="E23" s="17">
        <v>4880</v>
      </c>
      <c r="F23" s="15" t="s">
        <v>61</v>
      </c>
    </row>
    <row r="24" spans="1:6" hidden="1" outlineLevel="1" x14ac:dyDescent="0.45">
      <c r="B24" s="15" t="s">
        <v>64</v>
      </c>
      <c r="C24" s="15" t="s">
        <v>65</v>
      </c>
      <c r="D24" s="17">
        <v>0</v>
      </c>
      <c r="E24" s="17">
        <v>0</v>
      </c>
      <c r="F24" s="15" t="s">
        <v>61</v>
      </c>
    </row>
    <row r="25" spans="1:6" hidden="1" outlineLevel="1" x14ac:dyDescent="0.45">
      <c r="B25" s="15" t="s">
        <v>66</v>
      </c>
      <c r="C25" s="15" t="s">
        <v>67</v>
      </c>
      <c r="D25" s="17">
        <v>0</v>
      </c>
      <c r="E25" s="17">
        <v>0</v>
      </c>
      <c r="F25" s="15" t="s">
        <v>61</v>
      </c>
    </row>
    <row r="26" spans="1:6" hidden="1" outlineLevel="1" x14ac:dyDescent="0.45">
      <c r="B26" s="15" t="s">
        <v>68</v>
      </c>
      <c r="C26" s="15" t="s">
        <v>69</v>
      </c>
      <c r="D26" s="17">
        <v>0</v>
      </c>
      <c r="E26" s="17">
        <v>0</v>
      </c>
      <c r="F26" s="15" t="s">
        <v>61</v>
      </c>
    </row>
    <row r="27" spans="1:6" hidden="1" outlineLevel="1" x14ac:dyDescent="0.45">
      <c r="B27" s="15" t="s">
        <v>70</v>
      </c>
      <c r="C27" s="15" t="s">
        <v>71</v>
      </c>
      <c r="D27" s="17">
        <v>0</v>
      </c>
      <c r="E27" s="17">
        <v>0</v>
      </c>
      <c r="F27" s="15" t="s">
        <v>61</v>
      </c>
    </row>
    <row r="28" spans="1:6" hidden="1" outlineLevel="1" x14ac:dyDescent="0.45">
      <c r="B28" s="15" t="s">
        <v>72</v>
      </c>
      <c r="C28" s="15" t="s">
        <v>73</v>
      </c>
      <c r="D28" s="17">
        <v>0</v>
      </c>
      <c r="E28" s="17">
        <v>0</v>
      </c>
      <c r="F28" s="15" t="s">
        <v>61</v>
      </c>
    </row>
    <row r="29" spans="1:6" hidden="1" outlineLevel="1" x14ac:dyDescent="0.45">
      <c r="B29" s="15" t="s">
        <v>74</v>
      </c>
      <c r="C29" s="15" t="s">
        <v>75</v>
      </c>
      <c r="D29" s="17">
        <v>0</v>
      </c>
      <c r="E29" s="17">
        <v>0</v>
      </c>
      <c r="F29" s="15" t="s">
        <v>61</v>
      </c>
    </row>
    <row r="30" spans="1:6" hidden="1" outlineLevel="1" x14ac:dyDescent="0.45">
      <c r="B30" s="15" t="s">
        <v>76</v>
      </c>
      <c r="C30" s="15" t="s">
        <v>77</v>
      </c>
      <c r="D30" s="17">
        <v>0</v>
      </c>
      <c r="E30" s="17">
        <v>0</v>
      </c>
      <c r="F30" s="15" t="s">
        <v>61</v>
      </c>
    </row>
    <row r="31" spans="1:6" hidden="1" outlineLevel="1" x14ac:dyDescent="0.45">
      <c r="B31" s="15" t="s">
        <v>78</v>
      </c>
      <c r="C31" s="15" t="s">
        <v>79</v>
      </c>
      <c r="D31" s="17">
        <v>9640</v>
      </c>
      <c r="E31" s="17">
        <v>9640</v>
      </c>
      <c r="F31" s="15" t="s">
        <v>61</v>
      </c>
    </row>
    <row r="32" spans="1:6" hidden="1" outlineLevel="1" x14ac:dyDescent="0.45">
      <c r="B32" s="15" t="s">
        <v>80</v>
      </c>
      <c r="C32" s="15" t="s">
        <v>81</v>
      </c>
      <c r="D32" s="17">
        <v>6740</v>
      </c>
      <c r="E32" s="17">
        <v>6740</v>
      </c>
      <c r="F32" s="15" t="s">
        <v>61</v>
      </c>
    </row>
    <row r="33" spans="2:6" hidden="1" outlineLevel="1" x14ac:dyDescent="0.45">
      <c r="B33" s="15" t="s">
        <v>82</v>
      </c>
      <c r="C33" s="15" t="s">
        <v>83</v>
      </c>
      <c r="D33" s="17">
        <v>0</v>
      </c>
      <c r="E33" s="17">
        <v>0</v>
      </c>
      <c r="F33" s="15" t="s">
        <v>61</v>
      </c>
    </row>
    <row r="34" spans="2:6" hidden="1" outlineLevel="1" x14ac:dyDescent="0.45">
      <c r="B34" s="15" t="s">
        <v>84</v>
      </c>
      <c r="C34" s="15" t="s">
        <v>85</v>
      </c>
      <c r="D34" s="17">
        <v>0</v>
      </c>
      <c r="E34" s="17">
        <v>0</v>
      </c>
      <c r="F34" s="15" t="s">
        <v>61</v>
      </c>
    </row>
    <row r="35" spans="2:6" hidden="1" outlineLevel="1" x14ac:dyDescent="0.45">
      <c r="B35" s="15" t="s">
        <v>86</v>
      </c>
      <c r="C35" s="15" t="s">
        <v>87</v>
      </c>
      <c r="D35" s="17">
        <v>0</v>
      </c>
      <c r="E35" s="17">
        <v>0</v>
      </c>
      <c r="F35" s="15" t="s">
        <v>61</v>
      </c>
    </row>
    <row r="36" spans="2:6" hidden="1" outlineLevel="1" x14ac:dyDescent="0.45">
      <c r="B36" s="15" t="s">
        <v>88</v>
      </c>
      <c r="C36" s="15" t="s">
        <v>89</v>
      </c>
      <c r="D36" s="17">
        <v>0</v>
      </c>
      <c r="E36" s="17">
        <v>0</v>
      </c>
      <c r="F36" s="15" t="s">
        <v>61</v>
      </c>
    </row>
    <row r="37" spans="2:6" hidden="1" outlineLevel="1" x14ac:dyDescent="0.45">
      <c r="B37" s="15" t="s">
        <v>90</v>
      </c>
      <c r="C37" s="15" t="s">
        <v>91</v>
      </c>
      <c r="D37" s="17">
        <v>0</v>
      </c>
      <c r="E37" s="17">
        <v>0</v>
      </c>
      <c r="F37" s="15" t="s">
        <v>61</v>
      </c>
    </row>
    <row r="38" spans="2:6" hidden="1" outlineLevel="1" x14ac:dyDescent="0.45">
      <c r="B38" s="15" t="s">
        <v>92</v>
      </c>
      <c r="C38" s="15" t="s">
        <v>93</v>
      </c>
      <c r="D38" s="17">
        <v>0</v>
      </c>
      <c r="E38" s="17">
        <v>0</v>
      </c>
      <c r="F38" s="15" t="s">
        <v>61</v>
      </c>
    </row>
    <row r="39" spans="2:6" hidden="1" outlineLevel="1" x14ac:dyDescent="0.45">
      <c r="B39" s="15" t="s">
        <v>94</v>
      </c>
      <c r="C39" s="15" t="s">
        <v>95</v>
      </c>
      <c r="D39" s="17">
        <v>0</v>
      </c>
      <c r="E39" s="17">
        <v>0</v>
      </c>
      <c r="F39" s="15" t="s">
        <v>61</v>
      </c>
    </row>
    <row r="40" spans="2:6" hidden="1" outlineLevel="1" x14ac:dyDescent="0.45">
      <c r="B40" s="15" t="s">
        <v>96</v>
      </c>
      <c r="C40" s="15" t="s">
        <v>97</v>
      </c>
      <c r="D40" s="17">
        <v>0</v>
      </c>
      <c r="E40" s="17">
        <v>0</v>
      </c>
      <c r="F40" s="15" t="s">
        <v>61</v>
      </c>
    </row>
    <row r="41" spans="2:6" hidden="1" outlineLevel="1" x14ac:dyDescent="0.45">
      <c r="B41" s="15" t="s">
        <v>98</v>
      </c>
      <c r="C41" s="15" t="s">
        <v>99</v>
      </c>
      <c r="D41" s="17">
        <v>8580</v>
      </c>
      <c r="E41" s="17">
        <v>8580</v>
      </c>
      <c r="F41" s="15" t="s">
        <v>61</v>
      </c>
    </row>
    <row r="42" spans="2:6" hidden="1" outlineLevel="1" x14ac:dyDescent="0.45">
      <c r="B42" s="15" t="s">
        <v>100</v>
      </c>
      <c r="C42" s="15" t="s">
        <v>101</v>
      </c>
      <c r="D42" s="17">
        <v>4460</v>
      </c>
      <c r="E42" s="17">
        <v>4460</v>
      </c>
      <c r="F42" s="15" t="s">
        <v>61</v>
      </c>
    </row>
    <row r="43" spans="2:6" hidden="1" outlineLevel="1" x14ac:dyDescent="0.45">
      <c r="B43" s="15" t="s">
        <v>102</v>
      </c>
      <c r="C43" s="15" t="s">
        <v>103</v>
      </c>
      <c r="D43" s="17">
        <v>0</v>
      </c>
      <c r="E43" s="17">
        <v>0</v>
      </c>
      <c r="F43" s="15" t="s">
        <v>61</v>
      </c>
    </row>
    <row r="44" spans="2:6" hidden="1" outlineLevel="1" x14ac:dyDescent="0.45">
      <c r="B44" s="15" t="s">
        <v>104</v>
      </c>
      <c r="C44" s="15" t="s">
        <v>105</v>
      </c>
      <c r="D44" s="17">
        <v>0</v>
      </c>
      <c r="E44" s="17">
        <v>0</v>
      </c>
      <c r="F44" s="15" t="s">
        <v>61</v>
      </c>
    </row>
    <row r="45" spans="2:6" hidden="1" outlineLevel="1" x14ac:dyDescent="0.45">
      <c r="B45" s="15" t="s">
        <v>106</v>
      </c>
      <c r="C45" s="15" t="s">
        <v>107</v>
      </c>
      <c r="D45" s="17">
        <v>6960</v>
      </c>
      <c r="E45" s="17">
        <v>6960</v>
      </c>
      <c r="F45" s="15" t="s">
        <v>61</v>
      </c>
    </row>
    <row r="46" spans="2:6" hidden="1" outlineLevel="1" x14ac:dyDescent="0.45">
      <c r="B46" s="15" t="s">
        <v>108</v>
      </c>
      <c r="C46" s="15" t="s">
        <v>109</v>
      </c>
      <c r="D46" s="17">
        <v>6300</v>
      </c>
      <c r="E46" s="17">
        <v>6300</v>
      </c>
      <c r="F46" s="15" t="s">
        <v>61</v>
      </c>
    </row>
    <row r="47" spans="2:6" hidden="1" outlineLevel="1" x14ac:dyDescent="0.45">
      <c r="B47" s="15" t="s">
        <v>110</v>
      </c>
      <c r="C47" s="15" t="s">
        <v>111</v>
      </c>
      <c r="D47" s="17">
        <v>0</v>
      </c>
      <c r="E47" s="17">
        <v>0</v>
      </c>
      <c r="F47" s="15" t="s">
        <v>61</v>
      </c>
    </row>
    <row r="48" spans="2:6" hidden="1" outlineLevel="1" x14ac:dyDescent="0.45">
      <c r="B48" s="15" t="s">
        <v>112</v>
      </c>
      <c r="C48" s="15" t="s">
        <v>113</v>
      </c>
      <c r="D48" s="17">
        <v>2130</v>
      </c>
      <c r="E48" s="17">
        <v>2130</v>
      </c>
      <c r="F48" s="15" t="s">
        <v>61</v>
      </c>
    </row>
    <row r="49" spans="2:6" hidden="1" outlineLevel="1" x14ac:dyDescent="0.45">
      <c r="B49" s="15" t="s">
        <v>114</v>
      </c>
      <c r="C49" s="15" t="s">
        <v>115</v>
      </c>
      <c r="D49" s="17">
        <v>1210</v>
      </c>
      <c r="E49" s="17">
        <v>1210</v>
      </c>
      <c r="F49" s="15" t="s">
        <v>61</v>
      </c>
    </row>
    <row r="50" spans="2:6" hidden="1" outlineLevel="1" x14ac:dyDescent="0.45">
      <c r="B50" s="15" t="s">
        <v>116</v>
      </c>
      <c r="C50" s="15" t="s">
        <v>117</v>
      </c>
      <c r="D50" s="17">
        <v>0</v>
      </c>
      <c r="E50" s="17">
        <v>0</v>
      </c>
      <c r="F50" s="15" t="s">
        <v>61</v>
      </c>
    </row>
    <row r="51" spans="2:6" hidden="1" outlineLevel="1" x14ac:dyDescent="0.45">
      <c r="B51" s="15" t="s">
        <v>118</v>
      </c>
      <c r="C51" s="15" t="s">
        <v>119</v>
      </c>
      <c r="D51" s="17">
        <v>0</v>
      </c>
      <c r="E51" s="17">
        <v>0</v>
      </c>
      <c r="F51" s="15" t="s">
        <v>61</v>
      </c>
    </row>
    <row r="52" spans="2:6" hidden="1" outlineLevel="1" x14ac:dyDescent="0.45">
      <c r="B52" s="15" t="s">
        <v>120</v>
      </c>
      <c r="C52" s="15" t="s">
        <v>121</v>
      </c>
      <c r="D52" s="17">
        <v>0</v>
      </c>
      <c r="E52" s="17">
        <v>0</v>
      </c>
      <c r="F52" s="15" t="s">
        <v>61</v>
      </c>
    </row>
    <row r="53" spans="2:6" hidden="1" outlineLevel="1" x14ac:dyDescent="0.45">
      <c r="B53" s="15" t="s">
        <v>122</v>
      </c>
      <c r="C53" s="15" t="s">
        <v>123</v>
      </c>
      <c r="D53" s="17">
        <v>0</v>
      </c>
      <c r="E53" s="17">
        <v>0</v>
      </c>
      <c r="F53" s="15" t="s">
        <v>61</v>
      </c>
    </row>
    <row r="54" spans="2:6" hidden="1" outlineLevel="1" x14ac:dyDescent="0.45">
      <c r="B54" s="15" t="s">
        <v>124</v>
      </c>
      <c r="C54" s="15" t="s">
        <v>125</v>
      </c>
      <c r="D54" s="17">
        <v>0</v>
      </c>
      <c r="E54" s="17">
        <v>0</v>
      </c>
      <c r="F54" s="15" t="s">
        <v>61</v>
      </c>
    </row>
    <row r="55" spans="2:6" hidden="1" outlineLevel="1" x14ac:dyDescent="0.45">
      <c r="B55" s="15" t="s">
        <v>126</v>
      </c>
      <c r="C55" s="15" t="s">
        <v>127</v>
      </c>
      <c r="D55" s="17">
        <v>0</v>
      </c>
      <c r="E55" s="17">
        <v>0</v>
      </c>
      <c r="F55" s="15" t="s">
        <v>61</v>
      </c>
    </row>
    <row r="56" spans="2:6" hidden="1" outlineLevel="1" x14ac:dyDescent="0.45">
      <c r="B56" s="15" t="s">
        <v>128</v>
      </c>
      <c r="C56" s="15" t="s">
        <v>129</v>
      </c>
      <c r="D56" s="17">
        <v>0</v>
      </c>
      <c r="E56" s="17">
        <v>0</v>
      </c>
      <c r="F56" s="15" t="s">
        <v>61</v>
      </c>
    </row>
    <row r="57" spans="2:6" hidden="1" outlineLevel="1" x14ac:dyDescent="0.45">
      <c r="B57" s="15" t="s">
        <v>130</v>
      </c>
      <c r="C57" s="15" t="s">
        <v>131</v>
      </c>
      <c r="D57" s="17">
        <v>0</v>
      </c>
      <c r="E57" s="17">
        <v>0</v>
      </c>
      <c r="F57" s="15" t="s">
        <v>61</v>
      </c>
    </row>
    <row r="58" spans="2:6" hidden="1" outlineLevel="1" x14ac:dyDescent="0.45">
      <c r="B58" s="15" t="s">
        <v>132</v>
      </c>
      <c r="C58" s="15" t="s">
        <v>133</v>
      </c>
      <c r="D58" s="17">
        <v>0</v>
      </c>
      <c r="E58" s="17">
        <v>0</v>
      </c>
      <c r="F58" s="15" t="s">
        <v>61</v>
      </c>
    </row>
    <row r="59" spans="2:6" hidden="1" outlineLevel="1" x14ac:dyDescent="0.45">
      <c r="B59" s="15" t="s">
        <v>134</v>
      </c>
      <c r="C59" s="15" t="s">
        <v>135</v>
      </c>
      <c r="D59" s="17">
        <v>0</v>
      </c>
      <c r="E59" s="17">
        <v>0</v>
      </c>
      <c r="F59" s="15" t="s">
        <v>61</v>
      </c>
    </row>
    <row r="60" spans="2:6" hidden="1" outlineLevel="1" x14ac:dyDescent="0.45">
      <c r="B60" s="15" t="s">
        <v>136</v>
      </c>
      <c r="C60" s="15" t="s">
        <v>137</v>
      </c>
      <c r="D60" s="17">
        <v>0</v>
      </c>
      <c r="E60" s="17">
        <v>0</v>
      </c>
      <c r="F60" s="15" t="s">
        <v>61</v>
      </c>
    </row>
    <row r="61" spans="2:6" hidden="1" outlineLevel="1" x14ac:dyDescent="0.45">
      <c r="B61" s="15" t="s">
        <v>138</v>
      </c>
      <c r="C61" s="15" t="s">
        <v>139</v>
      </c>
      <c r="D61" s="17">
        <v>0</v>
      </c>
      <c r="E61" s="17">
        <v>0</v>
      </c>
      <c r="F61" s="15" t="s">
        <v>61</v>
      </c>
    </row>
    <row r="62" spans="2:6" hidden="1" outlineLevel="1" x14ac:dyDescent="0.45">
      <c r="B62" s="15" t="s">
        <v>140</v>
      </c>
      <c r="C62" s="15" t="s">
        <v>141</v>
      </c>
      <c r="D62" s="17">
        <v>6120</v>
      </c>
      <c r="E62" s="17">
        <v>6120</v>
      </c>
      <c r="F62" s="15" t="s">
        <v>61</v>
      </c>
    </row>
    <row r="63" spans="2:6" hidden="1" outlineLevel="1" x14ac:dyDescent="0.45">
      <c r="B63" s="15" t="s">
        <v>142</v>
      </c>
      <c r="C63" s="15" t="s">
        <v>143</v>
      </c>
      <c r="D63" s="17">
        <v>0</v>
      </c>
      <c r="E63" s="17">
        <v>0</v>
      </c>
      <c r="F63" s="15" t="s">
        <v>61</v>
      </c>
    </row>
    <row r="64" spans="2:6" hidden="1" outlineLevel="1" x14ac:dyDescent="0.45">
      <c r="B64" s="15" t="s">
        <v>144</v>
      </c>
      <c r="C64" s="15" t="s">
        <v>145</v>
      </c>
      <c r="D64" s="17">
        <v>620</v>
      </c>
      <c r="E64" s="17">
        <v>620</v>
      </c>
      <c r="F64" s="15" t="s">
        <v>61</v>
      </c>
    </row>
    <row r="65" spans="2:6" hidden="1" outlineLevel="1" x14ac:dyDescent="0.45">
      <c r="B65" s="15" t="s">
        <v>146</v>
      </c>
      <c r="C65" s="15" t="s">
        <v>147</v>
      </c>
      <c r="D65" s="17">
        <v>0</v>
      </c>
      <c r="E65" s="17">
        <v>0</v>
      </c>
      <c r="F65" s="15" t="s">
        <v>61</v>
      </c>
    </row>
    <row r="66" spans="2:6" hidden="1" outlineLevel="1" x14ac:dyDescent="0.45">
      <c r="B66" s="15" t="s">
        <v>148</v>
      </c>
      <c r="C66" s="15" t="s">
        <v>149</v>
      </c>
      <c r="D66" s="17">
        <v>0</v>
      </c>
      <c r="E66" s="17">
        <v>0</v>
      </c>
      <c r="F66" s="15" t="s">
        <v>61</v>
      </c>
    </row>
    <row r="67" spans="2:6" hidden="1" outlineLevel="1" x14ac:dyDescent="0.45">
      <c r="B67" s="15" t="s">
        <v>150</v>
      </c>
      <c r="C67" s="15" t="s">
        <v>151</v>
      </c>
      <c r="D67" s="17">
        <v>0</v>
      </c>
      <c r="E67" s="17">
        <v>0</v>
      </c>
      <c r="F67" s="15" t="s">
        <v>61</v>
      </c>
    </row>
    <row r="68" spans="2:6" hidden="1" outlineLevel="1" x14ac:dyDescent="0.45">
      <c r="B68" s="15" t="s">
        <v>152</v>
      </c>
      <c r="C68" s="15" t="s">
        <v>153</v>
      </c>
      <c r="D68" s="17">
        <v>0</v>
      </c>
      <c r="E68" s="17">
        <v>0</v>
      </c>
      <c r="F68" s="15" t="s">
        <v>61</v>
      </c>
    </row>
    <row r="69" spans="2:6" hidden="1" outlineLevel="1" x14ac:dyDescent="0.45">
      <c r="B69" s="15" t="s">
        <v>154</v>
      </c>
      <c r="C69" s="15" t="s">
        <v>155</v>
      </c>
      <c r="D69" s="17">
        <v>0</v>
      </c>
      <c r="E69" s="17">
        <v>0</v>
      </c>
      <c r="F69" s="15" t="s">
        <v>61</v>
      </c>
    </row>
    <row r="70" spans="2:6" hidden="1" outlineLevel="1" x14ac:dyDescent="0.45">
      <c r="B70" s="15" t="s">
        <v>156</v>
      </c>
      <c r="C70" s="15" t="s">
        <v>157</v>
      </c>
      <c r="D70" s="17">
        <v>0</v>
      </c>
      <c r="E70" s="17">
        <v>0</v>
      </c>
      <c r="F70" s="15" t="s">
        <v>61</v>
      </c>
    </row>
    <row r="71" spans="2:6" hidden="1" outlineLevel="1" x14ac:dyDescent="0.45">
      <c r="B71" s="15" t="s">
        <v>158</v>
      </c>
      <c r="C71" s="15" t="s">
        <v>159</v>
      </c>
      <c r="D71" s="17">
        <v>0</v>
      </c>
      <c r="E71" s="17">
        <v>0</v>
      </c>
      <c r="F71" s="15" t="s">
        <v>61</v>
      </c>
    </row>
    <row r="72" spans="2:6" hidden="1" outlineLevel="1" x14ac:dyDescent="0.45">
      <c r="B72" s="15" t="s">
        <v>160</v>
      </c>
      <c r="C72" s="15" t="s">
        <v>161</v>
      </c>
      <c r="D72" s="17">
        <v>0</v>
      </c>
      <c r="E72" s="17">
        <v>0</v>
      </c>
      <c r="F72" s="15" t="s">
        <v>61</v>
      </c>
    </row>
    <row r="73" spans="2:6" hidden="1" outlineLevel="1" x14ac:dyDescent="0.45">
      <c r="B73" s="15" t="s">
        <v>162</v>
      </c>
      <c r="C73" s="15" t="s">
        <v>163</v>
      </c>
      <c r="D73" s="17">
        <v>0</v>
      </c>
      <c r="E73" s="17">
        <v>0</v>
      </c>
      <c r="F73" s="15" t="s">
        <v>61</v>
      </c>
    </row>
    <row r="74" spans="2:6" hidden="1" outlineLevel="1" x14ac:dyDescent="0.45">
      <c r="B74" s="15" t="s">
        <v>164</v>
      </c>
      <c r="C74" s="15" t="s">
        <v>165</v>
      </c>
      <c r="D74" s="17">
        <v>0</v>
      </c>
      <c r="E74" s="17">
        <v>0</v>
      </c>
      <c r="F74" s="15" t="s">
        <v>61</v>
      </c>
    </row>
    <row r="75" spans="2:6" hidden="1" outlineLevel="1" x14ac:dyDescent="0.45">
      <c r="B75" s="15" t="s">
        <v>166</v>
      </c>
      <c r="C75" s="15" t="s">
        <v>167</v>
      </c>
      <c r="D75" s="17">
        <v>4830</v>
      </c>
      <c r="E75" s="17">
        <v>4830</v>
      </c>
      <c r="F75" s="15" t="s">
        <v>61</v>
      </c>
    </row>
    <row r="76" spans="2:6" hidden="1" outlineLevel="1" x14ac:dyDescent="0.45">
      <c r="B76" s="15" t="s">
        <v>168</v>
      </c>
      <c r="C76" s="15" t="s">
        <v>169</v>
      </c>
      <c r="D76" s="17">
        <v>2130</v>
      </c>
      <c r="E76" s="17">
        <v>2130</v>
      </c>
      <c r="F76" s="15" t="s">
        <v>61</v>
      </c>
    </row>
    <row r="77" spans="2:6" hidden="1" outlineLevel="1" x14ac:dyDescent="0.45">
      <c r="B77" s="15" t="s">
        <v>170</v>
      </c>
      <c r="C77" s="15" t="s">
        <v>171</v>
      </c>
      <c r="D77" s="17">
        <v>0</v>
      </c>
      <c r="E77" s="17">
        <v>0</v>
      </c>
      <c r="F77" s="15" t="s">
        <v>61</v>
      </c>
    </row>
    <row r="78" spans="2:6" hidden="1" outlineLevel="1" x14ac:dyDescent="0.45">
      <c r="B78" s="15" t="s">
        <v>172</v>
      </c>
      <c r="C78" s="15" t="s">
        <v>173</v>
      </c>
      <c r="D78" s="17">
        <v>0</v>
      </c>
      <c r="E78" s="17">
        <v>0</v>
      </c>
      <c r="F78" s="15" t="s">
        <v>61</v>
      </c>
    </row>
    <row r="79" spans="2:6" hidden="1" outlineLevel="1" x14ac:dyDescent="0.45">
      <c r="B79" s="15" t="s">
        <v>174</v>
      </c>
      <c r="C79" s="15" t="s">
        <v>175</v>
      </c>
      <c r="D79" s="17">
        <v>0</v>
      </c>
      <c r="E79" s="17">
        <v>0</v>
      </c>
      <c r="F79" s="15" t="s">
        <v>61</v>
      </c>
    </row>
    <row r="80" spans="2:6" hidden="1" outlineLevel="1" x14ac:dyDescent="0.45">
      <c r="B80" s="15" t="s">
        <v>176</v>
      </c>
      <c r="C80" s="15" t="s">
        <v>177</v>
      </c>
      <c r="D80" s="17">
        <v>0</v>
      </c>
      <c r="E80" s="17">
        <v>0</v>
      </c>
      <c r="F80" s="15" t="s">
        <v>61</v>
      </c>
    </row>
    <row r="81" spans="1:7" ht="14.65" hidden="1" outlineLevel="1" thickBot="1" x14ac:dyDescent="0.5">
      <c r="B81" s="12" t="s">
        <v>178</v>
      </c>
      <c r="C81" s="12" t="s">
        <v>179</v>
      </c>
      <c r="D81" s="16">
        <v>0</v>
      </c>
      <c r="E81" s="16">
        <v>0</v>
      </c>
      <c r="F81" s="12" t="s">
        <v>61</v>
      </c>
    </row>
    <row r="82" spans="1:7" collapsed="1" x14ac:dyDescent="0.45">
      <c r="B82" s="14"/>
      <c r="C82" s="14"/>
      <c r="D82" s="18"/>
      <c r="E82" s="18"/>
      <c r="F82" s="14"/>
    </row>
    <row r="85" spans="1:7" ht="14.65" thickBot="1" x14ac:dyDescent="0.5">
      <c r="A85" t="s">
        <v>53</v>
      </c>
    </row>
    <row r="86" spans="1:7" ht="14.65" thickBot="1" x14ac:dyDescent="0.5">
      <c r="B86" s="13" t="s">
        <v>47</v>
      </c>
      <c r="C86" s="13" t="s">
        <v>48</v>
      </c>
      <c r="D86" s="13" t="s">
        <v>54</v>
      </c>
      <c r="E86" s="13" t="s">
        <v>55</v>
      </c>
      <c r="F86" s="13" t="s">
        <v>56</v>
      </c>
      <c r="G86" s="13" t="s">
        <v>57</v>
      </c>
    </row>
    <row r="87" spans="1:7" x14ac:dyDescent="0.45">
      <c r="B87" s="15" t="s">
        <v>180</v>
      </c>
      <c r="C87" s="15" t="s">
        <v>1</v>
      </c>
      <c r="D87" s="17">
        <v>21260</v>
      </c>
      <c r="E87" s="15" t="s">
        <v>181</v>
      </c>
      <c r="F87" s="15" t="s">
        <v>182</v>
      </c>
      <c r="G87" s="15">
        <v>8740</v>
      </c>
    </row>
    <row r="88" spans="1:7" x14ac:dyDescent="0.45">
      <c r="B88" s="15" t="s">
        <v>183</v>
      </c>
      <c r="C88" s="15" t="s">
        <v>29</v>
      </c>
      <c r="D88" s="17">
        <v>20000</v>
      </c>
      <c r="E88" s="15" t="s">
        <v>184</v>
      </c>
      <c r="F88" s="15" t="s">
        <v>185</v>
      </c>
      <c r="G88" s="15">
        <v>0</v>
      </c>
    </row>
    <row r="89" spans="1:7" x14ac:dyDescent="0.45">
      <c r="B89" s="21" t="s">
        <v>211</v>
      </c>
      <c r="C89" s="15"/>
      <c r="D89" s="17"/>
      <c r="E89" s="15"/>
      <c r="F89" s="15"/>
      <c r="G89" s="15"/>
    </row>
    <row r="90" spans="1:7" hidden="1" outlineLevel="1" x14ac:dyDescent="0.45">
      <c r="B90" s="15" t="s">
        <v>186</v>
      </c>
      <c r="C90" s="15" t="s">
        <v>4</v>
      </c>
      <c r="D90" s="17">
        <v>9640</v>
      </c>
      <c r="E90" s="15" t="s">
        <v>187</v>
      </c>
      <c r="F90" s="15" t="s">
        <v>185</v>
      </c>
      <c r="G90" s="15">
        <v>0</v>
      </c>
    </row>
    <row r="91" spans="1:7" hidden="1" outlineLevel="1" x14ac:dyDescent="0.45">
      <c r="B91" s="15" t="s">
        <v>188</v>
      </c>
      <c r="C91" s="15" t="s">
        <v>5</v>
      </c>
      <c r="D91" s="17">
        <v>6740</v>
      </c>
      <c r="E91" s="15" t="s">
        <v>189</v>
      </c>
      <c r="F91" s="15" t="s">
        <v>185</v>
      </c>
      <c r="G91" s="15">
        <v>0</v>
      </c>
    </row>
    <row r="92" spans="1:7" hidden="1" outlineLevel="1" x14ac:dyDescent="0.45">
      <c r="B92" s="15" t="s">
        <v>190</v>
      </c>
      <c r="C92" s="15" t="s">
        <v>6</v>
      </c>
      <c r="D92" s="17">
        <v>6960</v>
      </c>
      <c r="E92" s="15" t="s">
        <v>191</v>
      </c>
      <c r="F92" s="15" t="s">
        <v>185</v>
      </c>
      <c r="G92" s="15">
        <v>0</v>
      </c>
    </row>
    <row r="93" spans="1:7" collapsed="1" x14ac:dyDescent="0.45">
      <c r="B93" s="15"/>
      <c r="C93" s="15"/>
      <c r="D93" s="17"/>
      <c r="E93" s="15"/>
      <c r="F93" s="15"/>
      <c r="G93" s="15"/>
    </row>
    <row r="94" spans="1:7" x14ac:dyDescent="0.45">
      <c r="B94" s="21" t="s">
        <v>212</v>
      </c>
      <c r="C94" s="15"/>
      <c r="D94" s="17"/>
      <c r="E94" s="15"/>
      <c r="F94" s="15"/>
      <c r="G94" s="15"/>
    </row>
    <row r="95" spans="1:7" hidden="1" outlineLevel="1" x14ac:dyDescent="0.45">
      <c r="B95" s="15" t="s">
        <v>192</v>
      </c>
      <c r="C95" s="15" t="s">
        <v>10</v>
      </c>
      <c r="D95" s="17">
        <v>6300</v>
      </c>
      <c r="E95" s="15" t="s">
        <v>193</v>
      </c>
      <c r="F95" s="15" t="s">
        <v>185</v>
      </c>
      <c r="G95" s="15">
        <v>0</v>
      </c>
    </row>
    <row r="96" spans="1:7" hidden="1" outlineLevel="1" x14ac:dyDescent="0.45">
      <c r="B96" s="15" t="s">
        <v>194</v>
      </c>
      <c r="C96" s="15" t="s">
        <v>11</v>
      </c>
      <c r="D96" s="17">
        <v>4880</v>
      </c>
      <c r="E96" s="15" t="s">
        <v>195</v>
      </c>
      <c r="F96" s="15" t="s">
        <v>185</v>
      </c>
      <c r="G96" s="15">
        <v>0</v>
      </c>
    </row>
    <row r="97" spans="2:7" hidden="1" outlineLevel="1" x14ac:dyDescent="0.45">
      <c r="B97" s="15" t="s">
        <v>196</v>
      </c>
      <c r="C97" s="15" t="s">
        <v>12</v>
      </c>
      <c r="D97" s="17">
        <v>2130</v>
      </c>
      <c r="E97" s="15" t="s">
        <v>197</v>
      </c>
      <c r="F97" s="15" t="s">
        <v>185</v>
      </c>
      <c r="G97" s="15">
        <v>0</v>
      </c>
    </row>
    <row r="98" spans="2:7" hidden="1" outlineLevel="1" x14ac:dyDescent="0.45">
      <c r="B98" s="15" t="s">
        <v>198</v>
      </c>
      <c r="C98" s="15" t="s">
        <v>13</v>
      </c>
      <c r="D98" s="17">
        <v>1210</v>
      </c>
      <c r="E98" s="15" t="s">
        <v>199</v>
      </c>
      <c r="F98" s="15" t="s">
        <v>185</v>
      </c>
      <c r="G98" s="15">
        <v>0</v>
      </c>
    </row>
    <row r="99" spans="2:7" hidden="1" outlineLevel="1" x14ac:dyDescent="0.45">
      <c r="B99" s="15" t="s">
        <v>200</v>
      </c>
      <c r="C99" s="15" t="s">
        <v>14</v>
      </c>
      <c r="D99" s="17">
        <v>6120</v>
      </c>
      <c r="E99" s="15" t="s">
        <v>201</v>
      </c>
      <c r="F99" s="15" t="s">
        <v>185</v>
      </c>
      <c r="G99" s="15">
        <v>0</v>
      </c>
    </row>
    <row r="100" spans="2:7" hidden="1" outlineLevel="1" x14ac:dyDescent="0.45">
      <c r="B100" s="15" t="s">
        <v>202</v>
      </c>
      <c r="C100" s="15" t="s">
        <v>15</v>
      </c>
      <c r="D100" s="17">
        <v>4830</v>
      </c>
      <c r="E100" s="15" t="s">
        <v>203</v>
      </c>
      <c r="F100" s="15" t="s">
        <v>185</v>
      </c>
      <c r="G100" s="15">
        <v>0</v>
      </c>
    </row>
    <row r="101" spans="2:7" hidden="1" outlineLevel="1" x14ac:dyDescent="0.45">
      <c r="B101" s="15" t="s">
        <v>204</v>
      </c>
      <c r="C101" s="15" t="s">
        <v>16</v>
      </c>
      <c r="D101" s="17">
        <v>2750</v>
      </c>
      <c r="E101" s="15" t="s">
        <v>205</v>
      </c>
      <c r="F101" s="15" t="s">
        <v>185</v>
      </c>
      <c r="G101" s="15">
        <v>0</v>
      </c>
    </row>
    <row r="102" spans="2:7" hidden="1" outlineLevel="1" x14ac:dyDescent="0.45">
      <c r="B102" s="15" t="s">
        <v>206</v>
      </c>
      <c r="C102" s="15" t="s">
        <v>17</v>
      </c>
      <c r="D102" s="17">
        <v>8580</v>
      </c>
      <c r="E102" s="15" t="s">
        <v>207</v>
      </c>
      <c r="F102" s="15" t="s">
        <v>185</v>
      </c>
      <c r="G102" s="15">
        <v>0</v>
      </c>
    </row>
    <row r="103" spans="2:7" ht="14.65" hidden="1" outlineLevel="1" thickBot="1" x14ac:dyDescent="0.5">
      <c r="B103" s="12" t="s">
        <v>208</v>
      </c>
      <c r="C103" s="12" t="s">
        <v>18</v>
      </c>
      <c r="D103" s="16">
        <v>4460</v>
      </c>
      <c r="E103" s="12" t="s">
        <v>209</v>
      </c>
      <c r="F103" s="12" t="s">
        <v>185</v>
      </c>
      <c r="G103" s="12">
        <v>0</v>
      </c>
    </row>
    <row r="104" spans="2:7" collapsed="1" x14ac:dyDescent="0.45">
      <c r="B104" s="14"/>
      <c r="C104" s="14"/>
      <c r="D104" s="18"/>
      <c r="E104" s="14"/>
      <c r="F104" s="14"/>
      <c r="G104" s="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D565-20C9-4481-B724-72F53D6BCCC6}">
  <dimension ref="A1:H92"/>
  <sheetViews>
    <sheetView showGridLines="0" workbookViewId="0"/>
  </sheetViews>
  <sheetFormatPr defaultRowHeight="14.25" outlineLevelRow="1" x14ac:dyDescent="0.45"/>
  <cols>
    <col min="1" max="1" width="2.1328125" customWidth="1"/>
    <col min="2" max="2" width="7.06640625" bestFit="1" customWidth="1"/>
    <col min="3" max="3" width="20.3984375" bestFit="1" customWidth="1"/>
    <col min="4" max="4" width="5.73046875" bestFit="1" customWidth="1"/>
    <col min="5" max="5" width="7.796875" bestFit="1" customWidth="1"/>
    <col min="6" max="6" width="9.46484375" bestFit="1" customWidth="1"/>
    <col min="7" max="8" width="8.86328125" bestFit="1" customWidth="1"/>
  </cols>
  <sheetData>
    <row r="1" spans="1:8" x14ac:dyDescent="0.45">
      <c r="A1" s="11" t="s">
        <v>213</v>
      </c>
    </row>
    <row r="2" spans="1:8" x14ac:dyDescent="0.45">
      <c r="A2" s="11" t="s">
        <v>36</v>
      </c>
    </row>
    <row r="3" spans="1:8" x14ac:dyDescent="0.45">
      <c r="A3" s="11" t="s">
        <v>37</v>
      </c>
    </row>
    <row r="6" spans="1:8" ht="14.65" thickBot="1" x14ac:dyDescent="0.5">
      <c r="A6" t="s">
        <v>51</v>
      </c>
    </row>
    <row r="7" spans="1:8" x14ac:dyDescent="0.45">
      <c r="B7" s="22"/>
      <c r="C7" s="22"/>
      <c r="D7" s="22" t="s">
        <v>214</v>
      </c>
      <c r="E7" s="22" t="s">
        <v>216</v>
      </c>
      <c r="F7" s="22" t="s">
        <v>217</v>
      </c>
      <c r="G7" s="22" t="s">
        <v>219</v>
      </c>
      <c r="H7" s="22" t="s">
        <v>219</v>
      </c>
    </row>
    <row r="8" spans="1:8" ht="14.65" thickBot="1" x14ac:dyDescent="0.5">
      <c r="B8" s="23" t="s">
        <v>47</v>
      </c>
      <c r="C8" s="23" t="s">
        <v>48</v>
      </c>
      <c r="D8" s="23" t="s">
        <v>215</v>
      </c>
      <c r="E8" s="23" t="s">
        <v>26</v>
      </c>
      <c r="F8" s="23" t="s">
        <v>218</v>
      </c>
      <c r="G8" s="23" t="s">
        <v>220</v>
      </c>
      <c r="H8" s="23" t="s">
        <v>221</v>
      </c>
    </row>
    <row r="9" spans="1:8" x14ac:dyDescent="0.45">
      <c r="B9" s="20" t="s">
        <v>210</v>
      </c>
      <c r="C9" s="19"/>
      <c r="D9" s="19"/>
      <c r="E9" s="19"/>
      <c r="F9" s="19"/>
      <c r="G9" s="19"/>
      <c r="H9" s="19"/>
    </row>
    <row r="10" spans="1:8" hidden="1" outlineLevel="1" x14ac:dyDescent="0.45">
      <c r="B10" s="15" t="s">
        <v>59</v>
      </c>
      <c r="C10" s="15" t="s">
        <v>60</v>
      </c>
      <c r="D10" s="15">
        <v>0</v>
      </c>
      <c r="E10" s="15">
        <v>0</v>
      </c>
      <c r="F10" s="15">
        <v>0</v>
      </c>
      <c r="G10" s="15">
        <v>1E+30</v>
      </c>
      <c r="H10" s="15">
        <v>0</v>
      </c>
    </row>
    <row r="11" spans="1:8" hidden="1" outlineLevel="1" x14ac:dyDescent="0.45">
      <c r="B11" s="15" t="s">
        <v>62</v>
      </c>
      <c r="C11" s="15" t="s">
        <v>63</v>
      </c>
      <c r="D11" s="15">
        <v>4880</v>
      </c>
      <c r="E11" s="15">
        <v>0</v>
      </c>
      <c r="F11" s="15">
        <v>3.5</v>
      </c>
      <c r="G11" s="15">
        <v>1.8000000000000016</v>
      </c>
      <c r="H11" s="15">
        <v>1E+30</v>
      </c>
    </row>
    <row r="12" spans="1:8" hidden="1" outlineLevel="1" x14ac:dyDescent="0.45">
      <c r="B12" s="15" t="s">
        <v>64</v>
      </c>
      <c r="C12" s="15" t="s">
        <v>65</v>
      </c>
      <c r="D12" s="15">
        <v>0</v>
      </c>
      <c r="E12" s="15">
        <v>0</v>
      </c>
      <c r="F12" s="15">
        <v>0</v>
      </c>
      <c r="G12" s="15">
        <v>1E+30</v>
      </c>
      <c r="H12" s="15">
        <v>0</v>
      </c>
    </row>
    <row r="13" spans="1:8" hidden="1" outlineLevel="1" x14ac:dyDescent="0.45">
      <c r="B13" s="15" t="s">
        <v>66</v>
      </c>
      <c r="C13" s="15" t="s">
        <v>67</v>
      </c>
      <c r="D13" s="15">
        <v>0</v>
      </c>
      <c r="E13" s="15">
        <v>0</v>
      </c>
      <c r="F13" s="15">
        <v>0</v>
      </c>
      <c r="G13" s="15">
        <v>1E+30</v>
      </c>
      <c r="H13" s="15">
        <v>0</v>
      </c>
    </row>
    <row r="14" spans="1:8" hidden="1" outlineLevel="1" x14ac:dyDescent="0.45">
      <c r="B14" s="15" t="s">
        <v>68</v>
      </c>
      <c r="C14" s="15" t="s">
        <v>69</v>
      </c>
      <c r="D14" s="15">
        <v>0</v>
      </c>
      <c r="E14" s="15">
        <v>0</v>
      </c>
      <c r="F14" s="15">
        <v>0</v>
      </c>
      <c r="G14" s="15">
        <v>1E+30</v>
      </c>
      <c r="H14" s="15">
        <v>0</v>
      </c>
    </row>
    <row r="15" spans="1:8" hidden="1" outlineLevel="1" x14ac:dyDescent="0.45">
      <c r="B15" s="15" t="s">
        <v>70</v>
      </c>
      <c r="C15" s="15" t="s">
        <v>71</v>
      </c>
      <c r="D15" s="15">
        <v>0</v>
      </c>
      <c r="E15" s="15">
        <v>0</v>
      </c>
      <c r="F15" s="15">
        <v>0</v>
      </c>
      <c r="G15" s="15">
        <v>1E+30</v>
      </c>
      <c r="H15" s="15">
        <v>0</v>
      </c>
    </row>
    <row r="16" spans="1:8" hidden="1" outlineLevel="1" x14ac:dyDescent="0.45">
      <c r="B16" s="15" t="s">
        <v>72</v>
      </c>
      <c r="C16" s="15" t="s">
        <v>73</v>
      </c>
      <c r="D16" s="15">
        <v>0</v>
      </c>
      <c r="E16" s="15">
        <v>0</v>
      </c>
      <c r="F16" s="15">
        <v>0</v>
      </c>
      <c r="G16" s="15">
        <v>1E+30</v>
      </c>
      <c r="H16" s="15">
        <v>0</v>
      </c>
    </row>
    <row r="17" spans="2:8" hidden="1" outlineLevel="1" x14ac:dyDescent="0.45">
      <c r="B17" s="15" t="s">
        <v>74</v>
      </c>
      <c r="C17" s="15" t="s">
        <v>75</v>
      </c>
      <c r="D17" s="15">
        <v>0</v>
      </c>
      <c r="E17" s="15">
        <v>0</v>
      </c>
      <c r="F17" s="15">
        <v>0</v>
      </c>
      <c r="G17" s="15">
        <v>1E+30</v>
      </c>
      <c r="H17" s="15">
        <v>0</v>
      </c>
    </row>
    <row r="18" spans="2:8" hidden="1" outlineLevel="1" x14ac:dyDescent="0.45">
      <c r="B18" s="15" t="s">
        <v>76</v>
      </c>
      <c r="C18" s="15" t="s">
        <v>77</v>
      </c>
      <c r="D18" s="15">
        <v>0</v>
      </c>
      <c r="E18" s="15">
        <v>0</v>
      </c>
      <c r="F18" s="15">
        <v>0</v>
      </c>
      <c r="G18" s="15">
        <v>1E+30</v>
      </c>
      <c r="H18" s="15">
        <v>0</v>
      </c>
    </row>
    <row r="19" spans="2:8" hidden="1" outlineLevel="1" x14ac:dyDescent="0.45">
      <c r="B19" s="15" t="s">
        <v>78</v>
      </c>
      <c r="C19" s="15" t="s">
        <v>79</v>
      </c>
      <c r="D19" s="15">
        <v>9640</v>
      </c>
      <c r="E19" s="15">
        <v>0</v>
      </c>
      <c r="F19" s="15">
        <v>3.2</v>
      </c>
      <c r="G19" s="15">
        <v>0.39999999999999858</v>
      </c>
      <c r="H19" s="15">
        <v>1.8000000000000016</v>
      </c>
    </row>
    <row r="20" spans="2:8" hidden="1" outlineLevel="1" x14ac:dyDescent="0.45">
      <c r="B20" s="15" t="s">
        <v>80</v>
      </c>
      <c r="C20" s="15" t="s">
        <v>81</v>
      </c>
      <c r="D20" s="15">
        <v>6740</v>
      </c>
      <c r="E20" s="15">
        <v>0</v>
      </c>
      <c r="F20" s="15">
        <v>2.2000000000000002</v>
      </c>
      <c r="G20" s="15">
        <v>1.0000000000000009</v>
      </c>
      <c r="H20" s="15">
        <v>0.39999999999999858</v>
      </c>
    </row>
    <row r="21" spans="2:8" hidden="1" outlineLevel="1" x14ac:dyDescent="0.45">
      <c r="B21" s="15" t="s">
        <v>82</v>
      </c>
      <c r="C21" s="15" t="s">
        <v>83</v>
      </c>
      <c r="D21" s="15">
        <v>0</v>
      </c>
      <c r="E21" s="15">
        <v>1.0000000000000009</v>
      </c>
      <c r="F21" s="15">
        <v>4.2000000000000011</v>
      </c>
      <c r="G21" s="15">
        <v>1E+30</v>
      </c>
      <c r="H21" s="15">
        <v>1.0000000000000009</v>
      </c>
    </row>
    <row r="22" spans="2:8" hidden="1" outlineLevel="1" x14ac:dyDescent="0.45">
      <c r="B22" s="15" t="s">
        <v>84</v>
      </c>
      <c r="C22" s="15" t="s">
        <v>85</v>
      </c>
      <c r="D22" s="15">
        <v>0</v>
      </c>
      <c r="E22" s="15">
        <v>0</v>
      </c>
      <c r="F22" s="15">
        <v>0</v>
      </c>
      <c r="G22" s="15">
        <v>1E+30</v>
      </c>
      <c r="H22" s="15">
        <v>0</v>
      </c>
    </row>
    <row r="23" spans="2:8" hidden="1" outlineLevel="1" x14ac:dyDescent="0.45">
      <c r="B23" s="15" t="s">
        <v>86</v>
      </c>
      <c r="C23" s="15" t="s">
        <v>87</v>
      </c>
      <c r="D23" s="15">
        <v>0</v>
      </c>
      <c r="E23" s="15">
        <v>0</v>
      </c>
      <c r="F23" s="15">
        <v>0</v>
      </c>
      <c r="G23" s="15">
        <v>1E+30</v>
      </c>
      <c r="H23" s="15">
        <v>0</v>
      </c>
    </row>
    <row r="24" spans="2:8" hidden="1" outlineLevel="1" x14ac:dyDescent="0.45">
      <c r="B24" s="15" t="s">
        <v>88</v>
      </c>
      <c r="C24" s="15" t="s">
        <v>89</v>
      </c>
      <c r="D24" s="15">
        <v>0</v>
      </c>
      <c r="E24" s="15">
        <v>0</v>
      </c>
      <c r="F24" s="15">
        <v>0</v>
      </c>
      <c r="G24" s="15">
        <v>1E+30</v>
      </c>
      <c r="H24" s="15">
        <v>0</v>
      </c>
    </row>
    <row r="25" spans="2:8" hidden="1" outlineLevel="1" x14ac:dyDescent="0.45">
      <c r="B25" s="15" t="s">
        <v>90</v>
      </c>
      <c r="C25" s="15" t="s">
        <v>91</v>
      </c>
      <c r="D25" s="15">
        <v>0</v>
      </c>
      <c r="E25" s="15">
        <v>0</v>
      </c>
      <c r="F25" s="15">
        <v>0</v>
      </c>
      <c r="G25" s="15">
        <v>1E+30</v>
      </c>
      <c r="H25" s="15">
        <v>0</v>
      </c>
    </row>
    <row r="26" spans="2:8" hidden="1" outlineLevel="1" x14ac:dyDescent="0.45">
      <c r="B26" s="15" t="s">
        <v>92</v>
      </c>
      <c r="C26" s="15" t="s">
        <v>93</v>
      </c>
      <c r="D26" s="15">
        <v>0</v>
      </c>
      <c r="E26" s="15">
        <v>0</v>
      </c>
      <c r="F26" s="15">
        <v>0</v>
      </c>
      <c r="G26" s="15">
        <v>1E+30</v>
      </c>
      <c r="H26" s="15">
        <v>0</v>
      </c>
    </row>
    <row r="27" spans="2:8" hidden="1" outlineLevel="1" x14ac:dyDescent="0.45">
      <c r="B27" s="15" t="s">
        <v>94</v>
      </c>
      <c r="C27" s="15" t="s">
        <v>95</v>
      </c>
      <c r="D27" s="15">
        <v>0</v>
      </c>
      <c r="E27" s="15">
        <v>0</v>
      </c>
      <c r="F27" s="15">
        <v>0</v>
      </c>
      <c r="G27" s="15">
        <v>1E+30</v>
      </c>
      <c r="H27" s="15">
        <v>0</v>
      </c>
    </row>
    <row r="28" spans="2:8" hidden="1" outlineLevel="1" x14ac:dyDescent="0.45">
      <c r="B28" s="15" t="s">
        <v>96</v>
      </c>
      <c r="C28" s="15" t="s">
        <v>97</v>
      </c>
      <c r="D28" s="15">
        <v>0</v>
      </c>
      <c r="E28" s="15">
        <v>0</v>
      </c>
      <c r="F28" s="15">
        <v>0</v>
      </c>
      <c r="G28" s="15">
        <v>1E+30</v>
      </c>
      <c r="H28" s="15">
        <v>0</v>
      </c>
    </row>
    <row r="29" spans="2:8" hidden="1" outlineLevel="1" x14ac:dyDescent="0.45">
      <c r="B29" s="15" t="s">
        <v>98</v>
      </c>
      <c r="C29" s="15" t="s">
        <v>99</v>
      </c>
      <c r="D29" s="15">
        <v>8580</v>
      </c>
      <c r="E29" s="15">
        <v>0</v>
      </c>
      <c r="F29" s="15">
        <v>0.30000000000000071</v>
      </c>
      <c r="G29" s="15">
        <v>2.9999999999999929</v>
      </c>
      <c r="H29" s="15">
        <v>1E+30</v>
      </c>
    </row>
    <row r="30" spans="2:8" hidden="1" outlineLevel="1" x14ac:dyDescent="0.45">
      <c r="B30" s="15" t="s">
        <v>100</v>
      </c>
      <c r="C30" s="15" t="s">
        <v>101</v>
      </c>
      <c r="D30" s="15">
        <v>4460</v>
      </c>
      <c r="E30" s="15">
        <v>0</v>
      </c>
      <c r="F30" s="15">
        <v>0.69999999999999929</v>
      </c>
      <c r="G30" s="15">
        <v>2.200000000000002</v>
      </c>
      <c r="H30" s="15">
        <v>1E+30</v>
      </c>
    </row>
    <row r="31" spans="2:8" hidden="1" outlineLevel="1" x14ac:dyDescent="0.45">
      <c r="B31" s="15" t="s">
        <v>102</v>
      </c>
      <c r="C31" s="15" t="s">
        <v>103</v>
      </c>
      <c r="D31" s="15">
        <v>0</v>
      </c>
      <c r="E31" s="15">
        <v>0</v>
      </c>
      <c r="F31" s="15">
        <v>0</v>
      </c>
      <c r="G31" s="15">
        <v>1E+30</v>
      </c>
      <c r="H31" s="15">
        <v>0</v>
      </c>
    </row>
    <row r="32" spans="2:8" hidden="1" outlineLevel="1" x14ac:dyDescent="0.45">
      <c r="B32" s="15" t="s">
        <v>104</v>
      </c>
      <c r="C32" s="15" t="s">
        <v>105</v>
      </c>
      <c r="D32" s="15">
        <v>0</v>
      </c>
      <c r="E32" s="15">
        <v>3.6999999999999984</v>
      </c>
      <c r="F32" s="15">
        <v>3.8999999999999986</v>
      </c>
      <c r="G32" s="15">
        <v>1E+30</v>
      </c>
      <c r="H32" s="15">
        <v>3.6999999999999984</v>
      </c>
    </row>
    <row r="33" spans="2:8" hidden="1" outlineLevel="1" x14ac:dyDescent="0.45">
      <c r="B33" s="15" t="s">
        <v>106</v>
      </c>
      <c r="C33" s="15" t="s">
        <v>107</v>
      </c>
      <c r="D33" s="15">
        <v>6960</v>
      </c>
      <c r="E33" s="15">
        <v>0</v>
      </c>
      <c r="F33" s="15">
        <v>1.1999999999999993</v>
      </c>
      <c r="G33" s="15">
        <v>2.0000000000000009</v>
      </c>
      <c r="H33" s="15">
        <v>2.200000000000002</v>
      </c>
    </row>
    <row r="34" spans="2:8" hidden="1" outlineLevel="1" x14ac:dyDescent="0.45">
      <c r="B34" s="15" t="s">
        <v>108</v>
      </c>
      <c r="C34" s="15" t="s">
        <v>109</v>
      </c>
      <c r="D34" s="15">
        <v>6300</v>
      </c>
      <c r="E34" s="15">
        <v>0</v>
      </c>
      <c r="F34" s="15">
        <v>0.30000000000000071</v>
      </c>
      <c r="G34" s="15">
        <v>3.9000000000000021</v>
      </c>
      <c r="H34" s="15">
        <v>1E+30</v>
      </c>
    </row>
    <row r="35" spans="2:8" hidden="1" outlineLevel="1" x14ac:dyDescent="0.45">
      <c r="B35" s="15" t="s">
        <v>110</v>
      </c>
      <c r="C35" s="15" t="s">
        <v>111</v>
      </c>
      <c r="D35" s="15">
        <v>0</v>
      </c>
      <c r="E35" s="15">
        <v>1.8000000000000016</v>
      </c>
      <c r="F35" s="15">
        <v>2.1000000000000014</v>
      </c>
      <c r="G35" s="15">
        <v>1E+30</v>
      </c>
      <c r="H35" s="15">
        <v>1.8000000000000016</v>
      </c>
    </row>
    <row r="36" spans="2:8" hidden="1" outlineLevel="1" x14ac:dyDescent="0.45">
      <c r="B36" s="15" t="s">
        <v>112</v>
      </c>
      <c r="C36" s="15" t="s">
        <v>113</v>
      </c>
      <c r="D36" s="15">
        <v>2130</v>
      </c>
      <c r="E36" s="15">
        <v>0</v>
      </c>
      <c r="F36" s="15">
        <v>3.1000000000000014</v>
      </c>
      <c r="G36" s="15">
        <v>0.39999999999999858</v>
      </c>
      <c r="H36" s="15">
        <v>1E+30</v>
      </c>
    </row>
    <row r="37" spans="2:8" hidden="1" outlineLevel="1" x14ac:dyDescent="0.45">
      <c r="B37" s="15" t="s">
        <v>114</v>
      </c>
      <c r="C37" s="15" t="s">
        <v>115</v>
      </c>
      <c r="D37" s="15">
        <v>1210</v>
      </c>
      <c r="E37" s="15">
        <v>0</v>
      </c>
      <c r="F37" s="15">
        <v>4.3999999999999986</v>
      </c>
      <c r="G37" s="15">
        <v>0.60000000000000142</v>
      </c>
      <c r="H37" s="15">
        <v>1E+30</v>
      </c>
    </row>
    <row r="38" spans="2:8" hidden="1" outlineLevel="1" x14ac:dyDescent="0.45">
      <c r="B38" s="15" t="s">
        <v>116</v>
      </c>
      <c r="C38" s="15" t="s">
        <v>117</v>
      </c>
      <c r="D38" s="15">
        <v>0</v>
      </c>
      <c r="E38" s="15">
        <v>4.2999999999999954</v>
      </c>
      <c r="F38" s="15">
        <v>6</v>
      </c>
      <c r="G38" s="15">
        <v>1E+30</v>
      </c>
      <c r="H38" s="15">
        <v>4.2999999999999954</v>
      </c>
    </row>
    <row r="39" spans="2:8" hidden="1" outlineLevel="1" x14ac:dyDescent="0.45">
      <c r="B39" s="15" t="s">
        <v>118</v>
      </c>
      <c r="C39" s="15" t="s">
        <v>119</v>
      </c>
      <c r="D39" s="15">
        <v>0</v>
      </c>
      <c r="E39" s="15">
        <v>0</v>
      </c>
      <c r="F39" s="15">
        <v>0</v>
      </c>
      <c r="G39" s="15">
        <v>1E+30</v>
      </c>
      <c r="H39" s="15">
        <v>0</v>
      </c>
    </row>
    <row r="40" spans="2:8" hidden="1" outlineLevel="1" x14ac:dyDescent="0.45">
      <c r="B40" s="15" t="s">
        <v>120</v>
      </c>
      <c r="C40" s="15" t="s">
        <v>121</v>
      </c>
      <c r="D40" s="15">
        <v>0</v>
      </c>
      <c r="E40" s="15">
        <v>0</v>
      </c>
      <c r="F40" s="15">
        <v>0</v>
      </c>
      <c r="G40" s="15">
        <v>1E+30</v>
      </c>
      <c r="H40" s="15">
        <v>0</v>
      </c>
    </row>
    <row r="41" spans="2:8" hidden="1" outlineLevel="1" x14ac:dyDescent="0.45">
      <c r="B41" s="15" t="s">
        <v>122</v>
      </c>
      <c r="C41" s="15" t="s">
        <v>123</v>
      </c>
      <c r="D41" s="15">
        <v>0</v>
      </c>
      <c r="E41" s="15">
        <v>0</v>
      </c>
      <c r="F41" s="15">
        <v>0</v>
      </c>
      <c r="G41" s="15">
        <v>1E+30</v>
      </c>
      <c r="H41" s="15">
        <v>0</v>
      </c>
    </row>
    <row r="42" spans="2:8" hidden="1" outlineLevel="1" x14ac:dyDescent="0.45">
      <c r="B42" s="15" t="s">
        <v>124</v>
      </c>
      <c r="C42" s="15" t="s">
        <v>125</v>
      </c>
      <c r="D42" s="15">
        <v>0</v>
      </c>
      <c r="E42" s="15">
        <v>0</v>
      </c>
      <c r="F42" s="15">
        <v>0</v>
      </c>
      <c r="G42" s="15">
        <v>1E+30</v>
      </c>
      <c r="H42" s="15">
        <v>0</v>
      </c>
    </row>
    <row r="43" spans="2:8" hidden="1" outlineLevel="1" x14ac:dyDescent="0.45">
      <c r="B43" s="15" t="s">
        <v>126</v>
      </c>
      <c r="C43" s="15" t="s">
        <v>127</v>
      </c>
      <c r="D43" s="15">
        <v>0</v>
      </c>
      <c r="E43" s="15">
        <v>0</v>
      </c>
      <c r="F43" s="15">
        <v>0</v>
      </c>
      <c r="G43" s="15">
        <v>1E+30</v>
      </c>
      <c r="H43" s="15">
        <v>0</v>
      </c>
    </row>
    <row r="44" spans="2:8" hidden="1" outlineLevel="1" x14ac:dyDescent="0.45">
      <c r="B44" s="15" t="s">
        <v>128</v>
      </c>
      <c r="C44" s="15" t="s">
        <v>129</v>
      </c>
      <c r="D44" s="15">
        <v>0</v>
      </c>
      <c r="E44" s="15">
        <v>0</v>
      </c>
      <c r="F44" s="15">
        <v>0</v>
      </c>
      <c r="G44" s="15">
        <v>1E+30</v>
      </c>
      <c r="H44" s="15">
        <v>0</v>
      </c>
    </row>
    <row r="45" spans="2:8" hidden="1" outlineLevel="1" x14ac:dyDescent="0.45">
      <c r="B45" s="15" t="s">
        <v>130</v>
      </c>
      <c r="C45" s="15" t="s">
        <v>131</v>
      </c>
      <c r="D45" s="15">
        <v>0</v>
      </c>
      <c r="E45" s="15">
        <v>0</v>
      </c>
      <c r="F45" s="15">
        <v>0</v>
      </c>
      <c r="G45" s="15">
        <v>1E+30</v>
      </c>
      <c r="H45" s="15">
        <v>0</v>
      </c>
    </row>
    <row r="46" spans="2:8" hidden="1" outlineLevel="1" x14ac:dyDescent="0.45">
      <c r="B46" s="15" t="s">
        <v>132</v>
      </c>
      <c r="C46" s="15" t="s">
        <v>133</v>
      </c>
      <c r="D46" s="15">
        <v>0</v>
      </c>
      <c r="E46" s="15">
        <v>3.9000000000000021</v>
      </c>
      <c r="F46" s="15">
        <v>5.2000000000000028</v>
      </c>
      <c r="G46" s="15">
        <v>1E+30</v>
      </c>
      <c r="H46" s="15">
        <v>3.9000000000000021</v>
      </c>
    </row>
    <row r="47" spans="2:8" hidden="1" outlineLevel="1" x14ac:dyDescent="0.45">
      <c r="B47" s="15" t="s">
        <v>134</v>
      </c>
      <c r="C47" s="15" t="s">
        <v>135</v>
      </c>
      <c r="D47" s="15">
        <v>0</v>
      </c>
      <c r="E47" s="15">
        <v>4.0999999999999979</v>
      </c>
      <c r="F47" s="15">
        <v>5.3999999999999986</v>
      </c>
      <c r="G47" s="15">
        <v>1E+30</v>
      </c>
      <c r="H47" s="15">
        <v>4.0999999999999979</v>
      </c>
    </row>
    <row r="48" spans="2:8" hidden="1" outlineLevel="1" x14ac:dyDescent="0.45">
      <c r="B48" s="15" t="s">
        <v>136</v>
      </c>
      <c r="C48" s="15" t="s">
        <v>137</v>
      </c>
      <c r="D48" s="15">
        <v>0</v>
      </c>
      <c r="E48" s="15">
        <v>0.39999999999999858</v>
      </c>
      <c r="F48" s="15">
        <v>4.5</v>
      </c>
      <c r="G48" s="15">
        <v>1E+30</v>
      </c>
      <c r="H48" s="15">
        <v>0.39999999999999858</v>
      </c>
    </row>
    <row r="49" spans="2:8" hidden="1" outlineLevel="1" x14ac:dyDescent="0.45">
      <c r="B49" s="15" t="s">
        <v>138</v>
      </c>
      <c r="C49" s="15" t="s">
        <v>139</v>
      </c>
      <c r="D49" s="15">
        <v>0</v>
      </c>
      <c r="E49" s="15">
        <v>0.60000000000000142</v>
      </c>
      <c r="F49" s="15">
        <v>6</v>
      </c>
      <c r="G49" s="15">
        <v>1E+30</v>
      </c>
      <c r="H49" s="15">
        <v>0.60000000000000142</v>
      </c>
    </row>
    <row r="50" spans="2:8" hidden="1" outlineLevel="1" x14ac:dyDescent="0.45">
      <c r="B50" s="15" t="s">
        <v>140</v>
      </c>
      <c r="C50" s="15" t="s">
        <v>141</v>
      </c>
      <c r="D50" s="15">
        <v>6120</v>
      </c>
      <c r="E50" s="15">
        <v>0</v>
      </c>
      <c r="F50" s="15">
        <v>2.7000000000000028</v>
      </c>
      <c r="G50" s="15">
        <v>3.700000000000002</v>
      </c>
      <c r="H50" s="15">
        <v>1E+30</v>
      </c>
    </row>
    <row r="51" spans="2:8" hidden="1" outlineLevel="1" x14ac:dyDescent="0.45">
      <c r="B51" s="15" t="s">
        <v>142</v>
      </c>
      <c r="C51" s="15" t="s">
        <v>143</v>
      </c>
      <c r="D51" s="15">
        <v>0</v>
      </c>
      <c r="E51" s="15">
        <v>0.40000000000000568</v>
      </c>
      <c r="F51" s="15">
        <v>4.7000000000000028</v>
      </c>
      <c r="G51" s="15">
        <v>1E+30</v>
      </c>
      <c r="H51" s="15">
        <v>0.40000000000000568</v>
      </c>
    </row>
    <row r="52" spans="2:8" hidden="1" outlineLevel="1" x14ac:dyDescent="0.45">
      <c r="B52" s="15" t="s">
        <v>144</v>
      </c>
      <c r="C52" s="15" t="s">
        <v>145</v>
      </c>
      <c r="D52" s="15">
        <v>620</v>
      </c>
      <c r="E52" s="15">
        <v>0</v>
      </c>
      <c r="F52" s="15">
        <v>3.4000000000000057</v>
      </c>
      <c r="G52" s="15">
        <v>0.40000000000000568</v>
      </c>
      <c r="H52" s="15">
        <v>2.0000000000000009</v>
      </c>
    </row>
    <row r="53" spans="2:8" hidden="1" outlineLevel="1" x14ac:dyDescent="0.45">
      <c r="B53" s="15" t="s">
        <v>146</v>
      </c>
      <c r="C53" s="15" t="s">
        <v>147</v>
      </c>
      <c r="D53" s="15">
        <v>0</v>
      </c>
      <c r="E53" s="15">
        <v>3.1999999999999948</v>
      </c>
      <c r="F53" s="15">
        <v>3.2999999999999972</v>
      </c>
      <c r="G53" s="15">
        <v>1E+30</v>
      </c>
      <c r="H53" s="15">
        <v>3.1999999999999948</v>
      </c>
    </row>
    <row r="54" spans="2:8" hidden="1" outlineLevel="1" x14ac:dyDescent="0.45">
      <c r="B54" s="15" t="s">
        <v>148</v>
      </c>
      <c r="C54" s="15" t="s">
        <v>149</v>
      </c>
      <c r="D54" s="15">
        <v>0</v>
      </c>
      <c r="E54" s="15">
        <v>2.200000000000002</v>
      </c>
      <c r="F54" s="15">
        <v>2.7000000000000028</v>
      </c>
      <c r="G54" s="15">
        <v>1E+30</v>
      </c>
      <c r="H54" s="15">
        <v>2.200000000000002</v>
      </c>
    </row>
    <row r="55" spans="2:8" hidden="1" outlineLevel="1" x14ac:dyDescent="0.45">
      <c r="B55" s="15" t="s">
        <v>150</v>
      </c>
      <c r="C55" s="15" t="s">
        <v>151</v>
      </c>
      <c r="D55" s="15">
        <v>0</v>
      </c>
      <c r="E55" s="15">
        <v>0</v>
      </c>
      <c r="F55" s="15">
        <v>0</v>
      </c>
      <c r="G55" s="15">
        <v>1E+30</v>
      </c>
      <c r="H55" s="15">
        <v>0</v>
      </c>
    </row>
    <row r="56" spans="2:8" hidden="1" outlineLevel="1" x14ac:dyDescent="0.45">
      <c r="B56" s="15" t="s">
        <v>152</v>
      </c>
      <c r="C56" s="15" t="s">
        <v>153</v>
      </c>
      <c r="D56" s="15">
        <v>0</v>
      </c>
      <c r="E56" s="15">
        <v>0</v>
      </c>
      <c r="F56" s="15">
        <v>0</v>
      </c>
      <c r="G56" s="15">
        <v>1E+30</v>
      </c>
      <c r="H56" s="15">
        <v>0</v>
      </c>
    </row>
    <row r="57" spans="2:8" hidden="1" outlineLevel="1" x14ac:dyDescent="0.45">
      <c r="B57" s="15" t="s">
        <v>154</v>
      </c>
      <c r="C57" s="15" t="s">
        <v>155</v>
      </c>
      <c r="D57" s="15">
        <v>0</v>
      </c>
      <c r="E57" s="15">
        <v>0</v>
      </c>
      <c r="F57" s="15">
        <v>0</v>
      </c>
      <c r="G57" s="15">
        <v>1E+30</v>
      </c>
      <c r="H57" s="15">
        <v>0</v>
      </c>
    </row>
    <row r="58" spans="2:8" hidden="1" outlineLevel="1" x14ac:dyDescent="0.45">
      <c r="B58" s="15" t="s">
        <v>156</v>
      </c>
      <c r="C58" s="15" t="s">
        <v>157</v>
      </c>
      <c r="D58" s="15">
        <v>0</v>
      </c>
      <c r="E58" s="15">
        <v>0</v>
      </c>
      <c r="F58" s="15">
        <v>0</v>
      </c>
      <c r="G58" s="15">
        <v>1E+30</v>
      </c>
      <c r="H58" s="15">
        <v>0</v>
      </c>
    </row>
    <row r="59" spans="2:8" hidden="1" outlineLevel="1" x14ac:dyDescent="0.45">
      <c r="B59" s="15" t="s">
        <v>158</v>
      </c>
      <c r="C59" s="15" t="s">
        <v>159</v>
      </c>
      <c r="D59" s="15">
        <v>0</v>
      </c>
      <c r="E59" s="15">
        <v>0</v>
      </c>
      <c r="F59" s="15">
        <v>0</v>
      </c>
      <c r="G59" s="15">
        <v>1E+30</v>
      </c>
      <c r="H59" s="15">
        <v>0</v>
      </c>
    </row>
    <row r="60" spans="2:8" hidden="1" outlineLevel="1" x14ac:dyDescent="0.45">
      <c r="B60" s="15" t="s">
        <v>160</v>
      </c>
      <c r="C60" s="15" t="s">
        <v>161</v>
      </c>
      <c r="D60" s="15">
        <v>0</v>
      </c>
      <c r="E60" s="15">
        <v>0</v>
      </c>
      <c r="F60" s="15">
        <v>0</v>
      </c>
      <c r="G60" s="15">
        <v>1E+30</v>
      </c>
      <c r="H60" s="15">
        <v>0</v>
      </c>
    </row>
    <row r="61" spans="2:8" hidden="1" outlineLevel="1" x14ac:dyDescent="0.45">
      <c r="B61" s="15" t="s">
        <v>162</v>
      </c>
      <c r="C61" s="15" t="s">
        <v>163</v>
      </c>
      <c r="D61" s="15">
        <v>0</v>
      </c>
      <c r="E61" s="15">
        <v>0</v>
      </c>
      <c r="F61" s="15">
        <v>0</v>
      </c>
      <c r="G61" s="15">
        <v>1E+30</v>
      </c>
      <c r="H61" s="15">
        <v>0</v>
      </c>
    </row>
    <row r="62" spans="2:8" hidden="1" outlineLevel="1" x14ac:dyDescent="0.45">
      <c r="B62" s="15" t="s">
        <v>164</v>
      </c>
      <c r="C62" s="15" t="s">
        <v>165</v>
      </c>
      <c r="D62" s="15">
        <v>0</v>
      </c>
      <c r="E62" s="15">
        <v>3.700000000000002</v>
      </c>
      <c r="F62" s="15">
        <v>5.4000000000000057</v>
      </c>
      <c r="G62" s="15">
        <v>1E+30</v>
      </c>
      <c r="H62" s="15">
        <v>3.700000000000002</v>
      </c>
    </row>
    <row r="63" spans="2:8" hidden="1" outlineLevel="1" x14ac:dyDescent="0.45">
      <c r="B63" s="15" t="s">
        <v>166</v>
      </c>
      <c r="C63" s="15" t="s">
        <v>167</v>
      </c>
      <c r="D63" s="15">
        <v>4830</v>
      </c>
      <c r="E63" s="15">
        <v>0</v>
      </c>
      <c r="F63" s="15">
        <v>3.2999999999999972</v>
      </c>
      <c r="G63" s="15">
        <v>0.40000000000000568</v>
      </c>
      <c r="H63" s="15">
        <v>1E+30</v>
      </c>
    </row>
    <row r="64" spans="2:8" hidden="1" outlineLevel="1" x14ac:dyDescent="0.45">
      <c r="B64" s="15" t="s">
        <v>168</v>
      </c>
      <c r="C64" s="15" t="s">
        <v>169</v>
      </c>
      <c r="D64" s="15">
        <v>2130</v>
      </c>
      <c r="E64" s="15">
        <v>0</v>
      </c>
      <c r="F64" s="15">
        <v>2.4000000000000057</v>
      </c>
      <c r="G64" s="15">
        <v>2.0000000000000009</v>
      </c>
      <c r="H64" s="15">
        <v>0.40000000000000568</v>
      </c>
    </row>
    <row r="65" spans="1:8" hidden="1" outlineLevel="1" x14ac:dyDescent="0.45">
      <c r="B65" s="15" t="s">
        <v>170</v>
      </c>
      <c r="C65" s="15" t="s">
        <v>171</v>
      </c>
      <c r="D65" s="15">
        <v>0</v>
      </c>
      <c r="E65" s="15">
        <v>2.9999999999999929</v>
      </c>
      <c r="F65" s="15">
        <v>2.0999999999999943</v>
      </c>
      <c r="G65" s="15">
        <v>1E+30</v>
      </c>
      <c r="H65" s="15">
        <v>2.9999999999999929</v>
      </c>
    </row>
    <row r="66" spans="1:8" hidden="1" outlineLevel="1" x14ac:dyDescent="0.45">
      <c r="B66" s="15" t="s">
        <v>172</v>
      </c>
      <c r="C66" s="15" t="s">
        <v>173</v>
      </c>
      <c r="D66" s="15">
        <v>0</v>
      </c>
      <c r="E66" s="15">
        <v>3</v>
      </c>
      <c r="F66" s="15">
        <v>2.5</v>
      </c>
      <c r="G66" s="15">
        <v>1E+30</v>
      </c>
      <c r="H66" s="15">
        <v>3</v>
      </c>
    </row>
    <row r="67" spans="1:8" hidden="1" outlineLevel="1" x14ac:dyDescent="0.45">
      <c r="B67" s="15" t="s">
        <v>174</v>
      </c>
      <c r="C67" s="15" t="s">
        <v>175</v>
      </c>
      <c r="D67" s="15">
        <v>0</v>
      </c>
      <c r="E67" s="15">
        <v>0</v>
      </c>
      <c r="F67" s="15">
        <v>0</v>
      </c>
      <c r="G67" s="15">
        <v>1E+30</v>
      </c>
      <c r="H67" s="15">
        <v>0</v>
      </c>
    </row>
    <row r="68" spans="1:8" hidden="1" outlineLevel="1" x14ac:dyDescent="0.45">
      <c r="B68" s="15" t="s">
        <v>176</v>
      </c>
      <c r="C68" s="15" t="s">
        <v>177</v>
      </c>
      <c r="D68" s="15">
        <v>0</v>
      </c>
      <c r="E68" s="15">
        <v>0</v>
      </c>
      <c r="F68" s="15">
        <v>0</v>
      </c>
      <c r="G68" s="15">
        <v>1E+30</v>
      </c>
      <c r="H68" s="15">
        <v>0</v>
      </c>
    </row>
    <row r="69" spans="1:8" ht="14.65" hidden="1" outlineLevel="1" thickBot="1" x14ac:dyDescent="0.5">
      <c r="B69" s="12" t="s">
        <v>178</v>
      </c>
      <c r="C69" s="12" t="s">
        <v>179</v>
      </c>
      <c r="D69" s="12">
        <v>0</v>
      </c>
      <c r="E69" s="12">
        <v>0</v>
      </c>
      <c r="F69" s="12">
        <v>0</v>
      </c>
      <c r="G69" s="12">
        <v>1E+30</v>
      </c>
      <c r="H69" s="12">
        <v>0</v>
      </c>
    </row>
    <row r="70" spans="1:8" collapsed="1" x14ac:dyDescent="0.45">
      <c r="B70" s="14"/>
      <c r="C70" s="14"/>
      <c r="D70" s="14"/>
      <c r="E70" s="14"/>
      <c r="F70" s="14"/>
      <c r="G70" s="14"/>
      <c r="H70" s="14"/>
    </row>
    <row r="72" spans="1:8" ht="14.65" thickBot="1" x14ac:dyDescent="0.5">
      <c r="A72" t="s">
        <v>53</v>
      </c>
    </row>
    <row r="73" spans="1:8" x14ac:dyDescent="0.45">
      <c r="B73" s="22"/>
      <c r="C73" s="22"/>
      <c r="D73" s="22" t="s">
        <v>214</v>
      </c>
      <c r="E73" s="22" t="s">
        <v>222</v>
      </c>
      <c r="F73" s="22" t="s">
        <v>224</v>
      </c>
      <c r="G73" s="22" t="s">
        <v>219</v>
      </c>
      <c r="H73" s="22" t="s">
        <v>219</v>
      </c>
    </row>
    <row r="74" spans="1:8" ht="14.65" thickBot="1" x14ac:dyDescent="0.5">
      <c r="B74" s="23" t="s">
        <v>47</v>
      </c>
      <c r="C74" s="23" t="s">
        <v>48</v>
      </c>
      <c r="D74" s="23" t="s">
        <v>215</v>
      </c>
      <c r="E74" s="23" t="s">
        <v>223</v>
      </c>
      <c r="F74" s="23" t="s">
        <v>225</v>
      </c>
      <c r="G74" s="23" t="s">
        <v>220</v>
      </c>
      <c r="H74" s="23" t="s">
        <v>221</v>
      </c>
    </row>
    <row r="75" spans="1:8" x14ac:dyDescent="0.45">
      <c r="B75" s="15" t="s">
        <v>180</v>
      </c>
      <c r="C75" s="15" t="s">
        <v>1</v>
      </c>
      <c r="D75" s="15">
        <v>21260</v>
      </c>
      <c r="E75" s="15">
        <v>0</v>
      </c>
      <c r="F75" s="15">
        <v>30000</v>
      </c>
      <c r="G75" s="15">
        <v>1E+30</v>
      </c>
      <c r="H75" s="15">
        <v>8740</v>
      </c>
    </row>
    <row r="76" spans="1:8" x14ac:dyDescent="0.45">
      <c r="B76" s="15" t="s">
        <v>183</v>
      </c>
      <c r="C76" s="15" t="s">
        <v>29</v>
      </c>
      <c r="D76" s="15">
        <v>20000</v>
      </c>
      <c r="E76" s="15">
        <v>-2.0000000000000009</v>
      </c>
      <c r="F76" s="15">
        <v>20000</v>
      </c>
      <c r="G76" s="15">
        <v>620</v>
      </c>
      <c r="H76" s="15">
        <v>2130</v>
      </c>
    </row>
    <row r="77" spans="1:8" x14ac:dyDescent="0.45">
      <c r="B77" s="21" t="s">
        <v>211</v>
      </c>
      <c r="C77" s="15"/>
      <c r="D77" s="15"/>
      <c r="E77" s="15"/>
      <c r="F77" s="15"/>
      <c r="G77" s="15"/>
      <c r="H77" s="15"/>
    </row>
    <row r="78" spans="1:8" hidden="1" outlineLevel="1" x14ac:dyDescent="0.45">
      <c r="B78" s="15" t="s">
        <v>186</v>
      </c>
      <c r="C78" s="15" t="s">
        <v>4</v>
      </c>
      <c r="D78" s="15">
        <v>9640</v>
      </c>
      <c r="E78" s="15">
        <v>-3.2</v>
      </c>
      <c r="F78" s="15">
        <v>0</v>
      </c>
      <c r="G78" s="15">
        <v>9640</v>
      </c>
      <c r="H78" s="15">
        <v>8740</v>
      </c>
    </row>
    <row r="79" spans="1:8" hidden="1" outlineLevel="1" x14ac:dyDescent="0.45">
      <c r="B79" s="15" t="s">
        <v>188</v>
      </c>
      <c r="C79" s="15" t="s">
        <v>5</v>
      </c>
      <c r="D79" s="15">
        <v>6740</v>
      </c>
      <c r="E79" s="15">
        <v>-2.2000000000000002</v>
      </c>
      <c r="F79" s="15">
        <v>0</v>
      </c>
      <c r="G79" s="15">
        <v>6740</v>
      </c>
      <c r="H79" s="15">
        <v>8740</v>
      </c>
    </row>
    <row r="80" spans="1:8" hidden="1" outlineLevel="1" x14ac:dyDescent="0.45">
      <c r="B80" s="15" t="s">
        <v>190</v>
      </c>
      <c r="C80" s="15" t="s">
        <v>6</v>
      </c>
      <c r="D80" s="15">
        <v>6960</v>
      </c>
      <c r="E80" s="15">
        <v>-3.2</v>
      </c>
      <c r="F80" s="15">
        <v>0</v>
      </c>
      <c r="G80" s="15">
        <v>620</v>
      </c>
      <c r="H80" s="15">
        <v>2130</v>
      </c>
    </row>
    <row r="81" spans="2:8" collapsed="1" x14ac:dyDescent="0.45">
      <c r="B81" s="15"/>
      <c r="C81" s="15"/>
      <c r="D81" s="15"/>
      <c r="E81" s="15"/>
      <c r="F81" s="15"/>
      <c r="G81" s="15"/>
      <c r="H81" s="15"/>
    </row>
    <row r="82" spans="2:8" x14ac:dyDescent="0.45">
      <c r="B82" s="21" t="s">
        <v>212</v>
      </c>
      <c r="C82" s="15"/>
      <c r="D82" s="15"/>
      <c r="E82" s="15"/>
      <c r="F82" s="15"/>
      <c r="G82" s="15"/>
      <c r="H82" s="15"/>
    </row>
    <row r="83" spans="2:8" hidden="1" outlineLevel="1" x14ac:dyDescent="0.45">
      <c r="B83" s="15" t="s">
        <v>192</v>
      </c>
      <c r="C83" s="15" t="s">
        <v>10</v>
      </c>
      <c r="D83" s="15">
        <v>6300</v>
      </c>
      <c r="E83" s="15">
        <v>3.5000000000000009</v>
      </c>
      <c r="F83" s="15">
        <v>6300</v>
      </c>
      <c r="G83" s="15">
        <v>8740</v>
      </c>
      <c r="H83" s="15">
        <v>6300</v>
      </c>
    </row>
    <row r="84" spans="2:8" hidden="1" outlineLevel="1" x14ac:dyDescent="0.45">
      <c r="B84" s="15" t="s">
        <v>194</v>
      </c>
      <c r="C84" s="15" t="s">
        <v>11</v>
      </c>
      <c r="D84" s="15">
        <v>4880</v>
      </c>
      <c r="E84" s="15">
        <v>3.5</v>
      </c>
      <c r="F84" s="15">
        <v>4880</v>
      </c>
      <c r="G84" s="15">
        <v>8740</v>
      </c>
      <c r="H84" s="15">
        <v>4880</v>
      </c>
    </row>
    <row r="85" spans="2:8" hidden="1" outlineLevel="1" x14ac:dyDescent="0.45">
      <c r="B85" s="15" t="s">
        <v>196</v>
      </c>
      <c r="C85" s="15" t="s">
        <v>12</v>
      </c>
      <c r="D85" s="15">
        <v>2130</v>
      </c>
      <c r="E85" s="15">
        <v>6.3000000000000016</v>
      </c>
      <c r="F85" s="15">
        <v>2130</v>
      </c>
      <c r="G85" s="15">
        <v>8740</v>
      </c>
      <c r="H85" s="15">
        <v>2130</v>
      </c>
    </row>
    <row r="86" spans="2:8" hidden="1" outlineLevel="1" x14ac:dyDescent="0.45">
      <c r="B86" s="15" t="s">
        <v>198</v>
      </c>
      <c r="C86" s="15" t="s">
        <v>13</v>
      </c>
      <c r="D86" s="15">
        <v>1210</v>
      </c>
      <c r="E86" s="15">
        <v>7.5999999999999988</v>
      </c>
      <c r="F86" s="15">
        <v>1210</v>
      </c>
      <c r="G86" s="15">
        <v>8740</v>
      </c>
      <c r="H86" s="15">
        <v>1210</v>
      </c>
    </row>
    <row r="87" spans="2:8" hidden="1" outlineLevel="1" x14ac:dyDescent="0.45">
      <c r="B87" s="15" t="s">
        <v>200</v>
      </c>
      <c r="C87" s="15" t="s">
        <v>14</v>
      </c>
      <c r="D87" s="15">
        <v>6120</v>
      </c>
      <c r="E87" s="15">
        <v>4.9000000000000039</v>
      </c>
      <c r="F87" s="15">
        <v>6120</v>
      </c>
      <c r="G87" s="15">
        <v>8740</v>
      </c>
      <c r="H87" s="15">
        <v>6120</v>
      </c>
    </row>
    <row r="88" spans="2:8" hidden="1" outlineLevel="1" x14ac:dyDescent="0.45">
      <c r="B88" s="15" t="s">
        <v>202</v>
      </c>
      <c r="C88" s="15" t="s">
        <v>15</v>
      </c>
      <c r="D88" s="15">
        <v>4830</v>
      </c>
      <c r="E88" s="15">
        <v>6.4999999999999973</v>
      </c>
      <c r="F88" s="15">
        <v>4830</v>
      </c>
      <c r="G88" s="15">
        <v>2130</v>
      </c>
      <c r="H88" s="15">
        <v>620</v>
      </c>
    </row>
    <row r="89" spans="2:8" hidden="1" outlineLevel="1" x14ac:dyDescent="0.45">
      <c r="B89" s="15" t="s">
        <v>204</v>
      </c>
      <c r="C89" s="15" t="s">
        <v>16</v>
      </c>
      <c r="D89" s="15">
        <v>2750</v>
      </c>
      <c r="E89" s="15">
        <v>5.6000000000000059</v>
      </c>
      <c r="F89" s="15">
        <v>2750</v>
      </c>
      <c r="G89" s="15">
        <v>8740</v>
      </c>
      <c r="H89" s="15">
        <v>620</v>
      </c>
    </row>
    <row r="90" spans="2:8" hidden="1" outlineLevel="1" x14ac:dyDescent="0.45">
      <c r="B90" s="15" t="s">
        <v>206</v>
      </c>
      <c r="C90" s="15" t="s">
        <v>17</v>
      </c>
      <c r="D90" s="15">
        <v>8580</v>
      </c>
      <c r="E90" s="15">
        <v>2.3000000000000016</v>
      </c>
      <c r="F90" s="15">
        <v>8580</v>
      </c>
      <c r="G90" s="15">
        <v>2130</v>
      </c>
      <c r="H90" s="15">
        <v>620</v>
      </c>
    </row>
    <row r="91" spans="2:8" ht="14.65" hidden="1" outlineLevel="1" thickBot="1" x14ac:dyDescent="0.5">
      <c r="B91" s="12" t="s">
        <v>208</v>
      </c>
      <c r="C91" s="12" t="s">
        <v>18</v>
      </c>
      <c r="D91" s="12">
        <v>4460</v>
      </c>
      <c r="E91" s="12">
        <v>2.7</v>
      </c>
      <c r="F91" s="12">
        <v>4460</v>
      </c>
      <c r="G91" s="12">
        <v>2130</v>
      </c>
      <c r="H91" s="12">
        <v>620</v>
      </c>
    </row>
    <row r="92" spans="2:8" collapsed="1" x14ac:dyDescent="0.45">
      <c r="B92" s="14"/>
      <c r="C92" s="14"/>
      <c r="D92" s="14"/>
      <c r="E92" s="14"/>
      <c r="F92" s="14"/>
      <c r="G92" s="14"/>
      <c r="H92"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4B000-F134-4B17-B62D-85C0C587CC3C}">
  <dimension ref="A1:J74"/>
  <sheetViews>
    <sheetView showGridLines="0" workbookViewId="0"/>
  </sheetViews>
  <sheetFormatPr defaultRowHeight="14.25" outlineLevelRow="1" x14ac:dyDescent="0.45"/>
  <cols>
    <col min="1" max="1" width="2.1328125" customWidth="1"/>
    <col min="2" max="2" width="7.06640625" bestFit="1" customWidth="1"/>
    <col min="3" max="3" width="20.3984375" bestFit="1" customWidth="1"/>
    <col min="4" max="4" width="6.73046875" bestFit="1" customWidth="1"/>
    <col min="5" max="5" width="2.1328125" customWidth="1"/>
    <col min="6" max="6" width="5.73046875" bestFit="1" customWidth="1"/>
    <col min="7" max="7" width="8.46484375" bestFit="1" customWidth="1"/>
    <col min="8" max="8" width="2.1328125" customWidth="1"/>
    <col min="9" max="9" width="5.796875" bestFit="1" customWidth="1"/>
    <col min="10" max="10" width="8.46484375" bestFit="1" customWidth="1"/>
  </cols>
  <sheetData>
    <row r="1" spans="1:10" x14ac:dyDescent="0.45">
      <c r="A1" s="11" t="s">
        <v>226</v>
      </c>
    </row>
    <row r="2" spans="1:10" x14ac:dyDescent="0.45">
      <c r="A2" s="11" t="s">
        <v>36</v>
      </c>
    </row>
    <row r="3" spans="1:10" x14ac:dyDescent="0.45">
      <c r="A3" s="11" t="s">
        <v>227</v>
      </c>
    </row>
    <row r="5" spans="1:10" ht="14.65" thickBot="1" x14ac:dyDescent="0.5"/>
    <row r="6" spans="1:10" x14ac:dyDescent="0.45">
      <c r="B6" s="22"/>
      <c r="C6" s="22" t="s">
        <v>217</v>
      </c>
      <c r="D6" s="22"/>
    </row>
    <row r="7" spans="1:10" ht="14.65" thickBot="1" x14ac:dyDescent="0.5">
      <c r="B7" s="23" t="s">
        <v>47</v>
      </c>
      <c r="C7" s="23" t="s">
        <v>48</v>
      </c>
      <c r="D7" s="23" t="s">
        <v>215</v>
      </c>
    </row>
    <row r="8" spans="1:10" ht="14.65" thickBot="1" x14ac:dyDescent="0.5">
      <c r="B8" s="12" t="s">
        <v>58</v>
      </c>
      <c r="C8" s="12" t="s">
        <v>30</v>
      </c>
      <c r="D8" s="16">
        <v>130304</v>
      </c>
    </row>
    <row r="10" spans="1:10" ht="14.65" thickBot="1" x14ac:dyDescent="0.5"/>
    <row r="11" spans="1:10" x14ac:dyDescent="0.45">
      <c r="B11" s="22"/>
      <c r="C11" s="22" t="s">
        <v>228</v>
      </c>
      <c r="D11" s="22"/>
      <c r="F11" s="22" t="s">
        <v>229</v>
      </c>
      <c r="G11" s="22" t="s">
        <v>217</v>
      </c>
      <c r="I11" s="22" t="s">
        <v>232</v>
      </c>
      <c r="J11" s="22" t="s">
        <v>217</v>
      </c>
    </row>
    <row r="12" spans="1:10" ht="14.65" thickBot="1" x14ac:dyDescent="0.5">
      <c r="B12" s="23" t="s">
        <v>47</v>
      </c>
      <c r="C12" s="23" t="s">
        <v>48</v>
      </c>
      <c r="D12" s="23" t="s">
        <v>215</v>
      </c>
      <c r="F12" s="23" t="s">
        <v>230</v>
      </c>
      <c r="G12" s="23" t="s">
        <v>231</v>
      </c>
      <c r="I12" s="23" t="s">
        <v>230</v>
      </c>
      <c r="J12" s="23" t="s">
        <v>231</v>
      </c>
    </row>
    <row r="13" spans="1:10" x14ac:dyDescent="0.45">
      <c r="B13" s="20" t="s">
        <v>210</v>
      </c>
      <c r="C13" s="19"/>
      <c r="D13" s="19"/>
      <c r="F13" s="19"/>
      <c r="G13" s="19"/>
      <c r="I13" s="19"/>
      <c r="J13" s="19"/>
    </row>
    <row r="14" spans="1:10" hidden="1" outlineLevel="1" x14ac:dyDescent="0.45">
      <c r="B14" s="15" t="s">
        <v>59</v>
      </c>
      <c r="C14" s="15" t="s">
        <v>60</v>
      </c>
      <c r="D14" s="17">
        <v>0</v>
      </c>
      <c r="F14" s="17">
        <v>0</v>
      </c>
      <c r="G14" s="17">
        <v>130304</v>
      </c>
      <c r="I14" s="15" t="e">
        <v>#N/A</v>
      </c>
      <c r="J14" s="15" t="e">
        <v>#N/A</v>
      </c>
    </row>
    <row r="15" spans="1:10" hidden="1" outlineLevel="1" x14ac:dyDescent="0.45">
      <c r="B15" s="15" t="s">
        <v>62</v>
      </c>
      <c r="C15" s="15" t="s">
        <v>63</v>
      </c>
      <c r="D15" s="17">
        <v>4880</v>
      </c>
      <c r="F15" s="17">
        <v>4880</v>
      </c>
      <c r="G15" s="17">
        <v>130304</v>
      </c>
      <c r="I15" s="17">
        <v>4880</v>
      </c>
      <c r="J15" s="17">
        <v>130304</v>
      </c>
    </row>
    <row r="16" spans="1:10" hidden="1" outlineLevel="1" x14ac:dyDescent="0.45">
      <c r="B16" s="15" t="s">
        <v>64</v>
      </c>
      <c r="C16" s="15" t="s">
        <v>65</v>
      </c>
      <c r="D16" s="17">
        <v>0</v>
      </c>
      <c r="F16" s="17">
        <v>0</v>
      </c>
      <c r="G16" s="17">
        <v>130304</v>
      </c>
      <c r="I16" s="15" t="e">
        <v>#N/A</v>
      </c>
      <c r="J16" s="15" t="e">
        <v>#N/A</v>
      </c>
    </row>
    <row r="17" spans="2:10" hidden="1" outlineLevel="1" x14ac:dyDescent="0.45">
      <c r="B17" s="15" t="s">
        <v>66</v>
      </c>
      <c r="C17" s="15" t="s">
        <v>67</v>
      </c>
      <c r="D17" s="17">
        <v>0</v>
      </c>
      <c r="F17" s="17">
        <v>0</v>
      </c>
      <c r="G17" s="17">
        <v>130304</v>
      </c>
      <c r="I17" s="15" t="e">
        <v>#N/A</v>
      </c>
      <c r="J17" s="15" t="e">
        <v>#N/A</v>
      </c>
    </row>
    <row r="18" spans="2:10" hidden="1" outlineLevel="1" x14ac:dyDescent="0.45">
      <c r="B18" s="15" t="s">
        <v>68</v>
      </c>
      <c r="C18" s="15" t="s">
        <v>69</v>
      </c>
      <c r="D18" s="17">
        <v>0</v>
      </c>
      <c r="F18" s="17">
        <v>0</v>
      </c>
      <c r="G18" s="17">
        <v>130304</v>
      </c>
      <c r="I18" s="15" t="e">
        <v>#N/A</v>
      </c>
      <c r="J18" s="15" t="e">
        <v>#N/A</v>
      </c>
    </row>
    <row r="19" spans="2:10" hidden="1" outlineLevel="1" x14ac:dyDescent="0.45">
      <c r="B19" s="15" t="s">
        <v>70</v>
      </c>
      <c r="C19" s="15" t="s">
        <v>71</v>
      </c>
      <c r="D19" s="17">
        <v>0</v>
      </c>
      <c r="F19" s="17">
        <v>0</v>
      </c>
      <c r="G19" s="17">
        <v>130304</v>
      </c>
      <c r="I19" s="15" t="e">
        <v>#N/A</v>
      </c>
      <c r="J19" s="15" t="e">
        <v>#N/A</v>
      </c>
    </row>
    <row r="20" spans="2:10" hidden="1" outlineLevel="1" x14ac:dyDescent="0.45">
      <c r="B20" s="15" t="s">
        <v>72</v>
      </c>
      <c r="C20" s="15" t="s">
        <v>73</v>
      </c>
      <c r="D20" s="17">
        <v>0</v>
      </c>
      <c r="F20" s="17">
        <v>0</v>
      </c>
      <c r="G20" s="17">
        <v>130304</v>
      </c>
      <c r="I20" s="15" t="e">
        <v>#N/A</v>
      </c>
      <c r="J20" s="15" t="e">
        <v>#N/A</v>
      </c>
    </row>
    <row r="21" spans="2:10" hidden="1" outlineLevel="1" x14ac:dyDescent="0.45">
      <c r="B21" s="15" t="s">
        <v>74</v>
      </c>
      <c r="C21" s="15" t="s">
        <v>75</v>
      </c>
      <c r="D21" s="17">
        <v>0</v>
      </c>
      <c r="F21" s="17">
        <v>0</v>
      </c>
      <c r="G21" s="17">
        <v>130304</v>
      </c>
      <c r="I21" s="15" t="e">
        <v>#N/A</v>
      </c>
      <c r="J21" s="15" t="e">
        <v>#N/A</v>
      </c>
    </row>
    <row r="22" spans="2:10" hidden="1" outlineLevel="1" x14ac:dyDescent="0.45">
      <c r="B22" s="15" t="s">
        <v>76</v>
      </c>
      <c r="C22" s="15" t="s">
        <v>77</v>
      </c>
      <c r="D22" s="17">
        <v>0</v>
      </c>
      <c r="F22" s="17">
        <v>0</v>
      </c>
      <c r="G22" s="17">
        <v>130304</v>
      </c>
      <c r="I22" s="15" t="e">
        <v>#N/A</v>
      </c>
      <c r="J22" s="15" t="e">
        <v>#N/A</v>
      </c>
    </row>
    <row r="23" spans="2:10" hidden="1" outlineLevel="1" x14ac:dyDescent="0.45">
      <c r="B23" s="15" t="s">
        <v>78</v>
      </c>
      <c r="C23" s="15" t="s">
        <v>79</v>
      </c>
      <c r="D23" s="17">
        <v>9640</v>
      </c>
      <c r="F23" s="17">
        <v>9640</v>
      </c>
      <c r="G23" s="17">
        <v>130304</v>
      </c>
      <c r="I23" s="17">
        <v>9640</v>
      </c>
      <c r="J23" s="17">
        <v>130304</v>
      </c>
    </row>
    <row r="24" spans="2:10" hidden="1" outlineLevel="1" x14ac:dyDescent="0.45">
      <c r="B24" s="15" t="s">
        <v>80</v>
      </c>
      <c r="C24" s="15" t="s">
        <v>81</v>
      </c>
      <c r="D24" s="17">
        <v>6740</v>
      </c>
      <c r="F24" s="17">
        <v>6740</v>
      </c>
      <c r="G24" s="17">
        <v>130304</v>
      </c>
      <c r="I24" s="17">
        <v>6740</v>
      </c>
      <c r="J24" s="17">
        <v>130304</v>
      </c>
    </row>
    <row r="25" spans="2:10" hidden="1" outlineLevel="1" x14ac:dyDescent="0.45">
      <c r="B25" s="15" t="s">
        <v>82</v>
      </c>
      <c r="C25" s="15" t="s">
        <v>83</v>
      </c>
      <c r="D25" s="17">
        <v>0</v>
      </c>
      <c r="F25" s="17">
        <v>0</v>
      </c>
      <c r="G25" s="17">
        <v>130304</v>
      </c>
      <c r="I25" s="17">
        <v>0</v>
      </c>
      <c r="J25" s="17">
        <v>130304</v>
      </c>
    </row>
    <row r="26" spans="2:10" hidden="1" outlineLevel="1" x14ac:dyDescent="0.45">
      <c r="B26" s="15" t="s">
        <v>84</v>
      </c>
      <c r="C26" s="15" t="s">
        <v>85</v>
      </c>
      <c r="D26" s="17">
        <v>0</v>
      </c>
      <c r="F26" s="17">
        <v>0</v>
      </c>
      <c r="G26" s="17">
        <v>130304</v>
      </c>
      <c r="I26" s="15" t="e">
        <v>#N/A</v>
      </c>
      <c r="J26" s="15" t="e">
        <v>#N/A</v>
      </c>
    </row>
    <row r="27" spans="2:10" hidden="1" outlineLevel="1" x14ac:dyDescent="0.45">
      <c r="B27" s="15" t="s">
        <v>86</v>
      </c>
      <c r="C27" s="15" t="s">
        <v>87</v>
      </c>
      <c r="D27" s="17">
        <v>0</v>
      </c>
      <c r="F27" s="17">
        <v>0</v>
      </c>
      <c r="G27" s="17">
        <v>130304</v>
      </c>
      <c r="I27" s="15" t="e">
        <v>#N/A</v>
      </c>
      <c r="J27" s="15" t="e">
        <v>#N/A</v>
      </c>
    </row>
    <row r="28" spans="2:10" hidden="1" outlineLevel="1" x14ac:dyDescent="0.45">
      <c r="B28" s="15" t="s">
        <v>88</v>
      </c>
      <c r="C28" s="15" t="s">
        <v>89</v>
      </c>
      <c r="D28" s="17">
        <v>0</v>
      </c>
      <c r="F28" s="17">
        <v>0</v>
      </c>
      <c r="G28" s="17">
        <v>130304</v>
      </c>
      <c r="I28" s="15" t="e">
        <v>#N/A</v>
      </c>
      <c r="J28" s="15" t="e">
        <v>#N/A</v>
      </c>
    </row>
    <row r="29" spans="2:10" hidden="1" outlineLevel="1" x14ac:dyDescent="0.45">
      <c r="B29" s="15" t="s">
        <v>90</v>
      </c>
      <c r="C29" s="15" t="s">
        <v>91</v>
      </c>
      <c r="D29" s="17">
        <v>0</v>
      </c>
      <c r="F29" s="17">
        <v>0</v>
      </c>
      <c r="G29" s="17">
        <v>130304</v>
      </c>
      <c r="I29" s="15" t="e">
        <v>#N/A</v>
      </c>
      <c r="J29" s="15" t="e">
        <v>#N/A</v>
      </c>
    </row>
    <row r="30" spans="2:10" hidden="1" outlineLevel="1" x14ac:dyDescent="0.45">
      <c r="B30" s="15" t="s">
        <v>92</v>
      </c>
      <c r="C30" s="15" t="s">
        <v>93</v>
      </c>
      <c r="D30" s="17">
        <v>0</v>
      </c>
      <c r="F30" s="17">
        <v>0</v>
      </c>
      <c r="G30" s="17">
        <v>130304</v>
      </c>
      <c r="I30" s="15" t="e">
        <v>#N/A</v>
      </c>
      <c r="J30" s="15" t="e">
        <v>#N/A</v>
      </c>
    </row>
    <row r="31" spans="2:10" hidden="1" outlineLevel="1" x14ac:dyDescent="0.45">
      <c r="B31" s="15" t="s">
        <v>94</v>
      </c>
      <c r="C31" s="15" t="s">
        <v>95</v>
      </c>
      <c r="D31" s="17">
        <v>0</v>
      </c>
      <c r="F31" s="17">
        <v>0</v>
      </c>
      <c r="G31" s="17">
        <v>130304</v>
      </c>
      <c r="I31" s="15" t="e">
        <v>#N/A</v>
      </c>
      <c r="J31" s="15" t="e">
        <v>#N/A</v>
      </c>
    </row>
    <row r="32" spans="2:10" hidden="1" outlineLevel="1" x14ac:dyDescent="0.45">
      <c r="B32" s="15" t="s">
        <v>96</v>
      </c>
      <c r="C32" s="15" t="s">
        <v>97</v>
      </c>
      <c r="D32" s="17">
        <v>0</v>
      </c>
      <c r="F32" s="17">
        <v>0</v>
      </c>
      <c r="G32" s="17">
        <v>130304</v>
      </c>
      <c r="I32" s="15" t="e">
        <v>#N/A</v>
      </c>
      <c r="J32" s="15" t="e">
        <v>#N/A</v>
      </c>
    </row>
    <row r="33" spans="2:10" hidden="1" outlineLevel="1" x14ac:dyDescent="0.45">
      <c r="B33" s="15" t="s">
        <v>98</v>
      </c>
      <c r="C33" s="15" t="s">
        <v>99</v>
      </c>
      <c r="D33" s="17">
        <v>8580</v>
      </c>
      <c r="F33" s="17">
        <v>8580</v>
      </c>
      <c r="G33" s="17">
        <v>130304</v>
      </c>
      <c r="I33" s="17">
        <v>8580</v>
      </c>
      <c r="J33" s="17">
        <v>130304</v>
      </c>
    </row>
    <row r="34" spans="2:10" hidden="1" outlineLevel="1" x14ac:dyDescent="0.45">
      <c r="B34" s="15" t="s">
        <v>100</v>
      </c>
      <c r="C34" s="15" t="s">
        <v>101</v>
      </c>
      <c r="D34" s="17">
        <v>4460</v>
      </c>
      <c r="F34" s="17">
        <v>4460</v>
      </c>
      <c r="G34" s="17">
        <v>130304</v>
      </c>
      <c r="I34" s="17">
        <v>4460</v>
      </c>
      <c r="J34" s="17">
        <v>130304</v>
      </c>
    </row>
    <row r="35" spans="2:10" hidden="1" outlineLevel="1" x14ac:dyDescent="0.45">
      <c r="B35" s="15" t="s">
        <v>102</v>
      </c>
      <c r="C35" s="15" t="s">
        <v>103</v>
      </c>
      <c r="D35" s="17">
        <v>0</v>
      </c>
      <c r="F35" s="17">
        <v>0</v>
      </c>
      <c r="G35" s="17">
        <v>130304</v>
      </c>
      <c r="I35" s="15" t="e">
        <v>#N/A</v>
      </c>
      <c r="J35" s="15" t="e">
        <v>#N/A</v>
      </c>
    </row>
    <row r="36" spans="2:10" hidden="1" outlineLevel="1" x14ac:dyDescent="0.45">
      <c r="B36" s="15" t="s">
        <v>104</v>
      </c>
      <c r="C36" s="15" t="s">
        <v>105</v>
      </c>
      <c r="D36" s="17">
        <v>0</v>
      </c>
      <c r="F36" s="17">
        <v>0</v>
      </c>
      <c r="G36" s="17">
        <v>130304</v>
      </c>
      <c r="I36" s="17">
        <v>0</v>
      </c>
      <c r="J36" s="17">
        <v>130304</v>
      </c>
    </row>
    <row r="37" spans="2:10" hidden="1" outlineLevel="1" x14ac:dyDescent="0.45">
      <c r="B37" s="15" t="s">
        <v>106</v>
      </c>
      <c r="C37" s="15" t="s">
        <v>107</v>
      </c>
      <c r="D37" s="17">
        <v>6960</v>
      </c>
      <c r="F37" s="17">
        <v>6960</v>
      </c>
      <c r="G37" s="17">
        <v>130304</v>
      </c>
      <c r="I37" s="17">
        <v>6960</v>
      </c>
      <c r="J37" s="17">
        <v>130304</v>
      </c>
    </row>
    <row r="38" spans="2:10" hidden="1" outlineLevel="1" x14ac:dyDescent="0.45">
      <c r="B38" s="15" t="s">
        <v>108</v>
      </c>
      <c r="C38" s="15" t="s">
        <v>109</v>
      </c>
      <c r="D38" s="17">
        <v>6300</v>
      </c>
      <c r="F38" s="17">
        <v>6300</v>
      </c>
      <c r="G38" s="17">
        <v>130304</v>
      </c>
      <c r="I38" s="17">
        <v>6300</v>
      </c>
      <c r="J38" s="17">
        <v>130304</v>
      </c>
    </row>
    <row r="39" spans="2:10" hidden="1" outlineLevel="1" x14ac:dyDescent="0.45">
      <c r="B39" s="15" t="s">
        <v>110</v>
      </c>
      <c r="C39" s="15" t="s">
        <v>111</v>
      </c>
      <c r="D39" s="17">
        <v>0</v>
      </c>
      <c r="F39" s="17">
        <v>0</v>
      </c>
      <c r="G39" s="17">
        <v>130304</v>
      </c>
      <c r="I39" s="17">
        <v>0</v>
      </c>
      <c r="J39" s="17">
        <v>130304</v>
      </c>
    </row>
    <row r="40" spans="2:10" hidden="1" outlineLevel="1" x14ac:dyDescent="0.45">
      <c r="B40" s="15" t="s">
        <v>112</v>
      </c>
      <c r="C40" s="15" t="s">
        <v>113</v>
      </c>
      <c r="D40" s="17">
        <v>2130</v>
      </c>
      <c r="F40" s="17">
        <v>2130</v>
      </c>
      <c r="G40" s="17">
        <v>130304</v>
      </c>
      <c r="I40" s="17">
        <v>2130</v>
      </c>
      <c r="J40" s="17">
        <v>130304</v>
      </c>
    </row>
    <row r="41" spans="2:10" hidden="1" outlineLevel="1" x14ac:dyDescent="0.45">
      <c r="B41" s="15" t="s">
        <v>114</v>
      </c>
      <c r="C41" s="15" t="s">
        <v>115</v>
      </c>
      <c r="D41" s="17">
        <v>1210</v>
      </c>
      <c r="F41" s="17">
        <v>1210</v>
      </c>
      <c r="G41" s="17">
        <v>130304</v>
      </c>
      <c r="I41" s="17">
        <v>1210</v>
      </c>
      <c r="J41" s="17">
        <v>130304</v>
      </c>
    </row>
    <row r="42" spans="2:10" hidden="1" outlineLevel="1" x14ac:dyDescent="0.45">
      <c r="B42" s="15" t="s">
        <v>116</v>
      </c>
      <c r="C42" s="15" t="s">
        <v>117</v>
      </c>
      <c r="D42" s="17">
        <v>0</v>
      </c>
      <c r="F42" s="17">
        <v>0</v>
      </c>
      <c r="G42" s="17">
        <v>130304</v>
      </c>
      <c r="I42" s="17">
        <v>0</v>
      </c>
      <c r="J42" s="17">
        <v>130304</v>
      </c>
    </row>
    <row r="43" spans="2:10" hidden="1" outlineLevel="1" x14ac:dyDescent="0.45">
      <c r="B43" s="15" t="s">
        <v>118</v>
      </c>
      <c r="C43" s="15" t="s">
        <v>119</v>
      </c>
      <c r="D43" s="17">
        <v>0</v>
      </c>
      <c r="F43" s="17">
        <v>0</v>
      </c>
      <c r="G43" s="17">
        <v>130304</v>
      </c>
      <c r="I43" s="15" t="e">
        <v>#N/A</v>
      </c>
      <c r="J43" s="15" t="e">
        <v>#N/A</v>
      </c>
    </row>
    <row r="44" spans="2:10" hidden="1" outlineLevel="1" x14ac:dyDescent="0.45">
      <c r="B44" s="15" t="s">
        <v>120</v>
      </c>
      <c r="C44" s="15" t="s">
        <v>121</v>
      </c>
      <c r="D44" s="17">
        <v>0</v>
      </c>
      <c r="F44" s="17">
        <v>0</v>
      </c>
      <c r="G44" s="17">
        <v>130304</v>
      </c>
      <c r="I44" s="15" t="e">
        <v>#N/A</v>
      </c>
      <c r="J44" s="15" t="e">
        <v>#N/A</v>
      </c>
    </row>
    <row r="45" spans="2:10" hidden="1" outlineLevel="1" x14ac:dyDescent="0.45">
      <c r="B45" s="15" t="s">
        <v>122</v>
      </c>
      <c r="C45" s="15" t="s">
        <v>123</v>
      </c>
      <c r="D45" s="17">
        <v>0</v>
      </c>
      <c r="F45" s="17">
        <v>0</v>
      </c>
      <c r="G45" s="17">
        <v>130304</v>
      </c>
      <c r="I45" s="15" t="e">
        <v>#N/A</v>
      </c>
      <c r="J45" s="15" t="e">
        <v>#N/A</v>
      </c>
    </row>
    <row r="46" spans="2:10" hidden="1" outlineLevel="1" x14ac:dyDescent="0.45">
      <c r="B46" s="15" t="s">
        <v>124</v>
      </c>
      <c r="C46" s="15" t="s">
        <v>125</v>
      </c>
      <c r="D46" s="17">
        <v>0</v>
      </c>
      <c r="F46" s="17">
        <v>0</v>
      </c>
      <c r="G46" s="17">
        <v>130304</v>
      </c>
      <c r="I46" s="15" t="e">
        <v>#N/A</v>
      </c>
      <c r="J46" s="15" t="e">
        <v>#N/A</v>
      </c>
    </row>
    <row r="47" spans="2:10" hidden="1" outlineLevel="1" x14ac:dyDescent="0.45">
      <c r="B47" s="15" t="s">
        <v>126</v>
      </c>
      <c r="C47" s="15" t="s">
        <v>127</v>
      </c>
      <c r="D47" s="17">
        <v>0</v>
      </c>
      <c r="F47" s="17">
        <v>0</v>
      </c>
      <c r="G47" s="17">
        <v>130304</v>
      </c>
      <c r="I47" s="15" t="e">
        <v>#N/A</v>
      </c>
      <c r="J47" s="15" t="e">
        <v>#N/A</v>
      </c>
    </row>
    <row r="48" spans="2:10" hidden="1" outlineLevel="1" x14ac:dyDescent="0.45">
      <c r="B48" s="15" t="s">
        <v>128</v>
      </c>
      <c r="C48" s="15" t="s">
        <v>129</v>
      </c>
      <c r="D48" s="17">
        <v>0</v>
      </c>
      <c r="F48" s="17">
        <v>0</v>
      </c>
      <c r="G48" s="17">
        <v>130304</v>
      </c>
      <c r="I48" s="15" t="e">
        <v>#N/A</v>
      </c>
      <c r="J48" s="15" t="e">
        <v>#N/A</v>
      </c>
    </row>
    <row r="49" spans="2:10" hidden="1" outlineLevel="1" x14ac:dyDescent="0.45">
      <c r="B49" s="15" t="s">
        <v>130</v>
      </c>
      <c r="C49" s="15" t="s">
        <v>131</v>
      </c>
      <c r="D49" s="17">
        <v>0</v>
      </c>
      <c r="F49" s="17">
        <v>0</v>
      </c>
      <c r="G49" s="17">
        <v>130304</v>
      </c>
      <c r="I49" s="15" t="e">
        <v>#N/A</v>
      </c>
      <c r="J49" s="15" t="e">
        <v>#N/A</v>
      </c>
    </row>
    <row r="50" spans="2:10" hidden="1" outlineLevel="1" x14ac:dyDescent="0.45">
      <c r="B50" s="15" t="s">
        <v>132</v>
      </c>
      <c r="C50" s="15" t="s">
        <v>133</v>
      </c>
      <c r="D50" s="17">
        <v>0</v>
      </c>
      <c r="F50" s="17">
        <v>0</v>
      </c>
      <c r="G50" s="17">
        <v>130304</v>
      </c>
      <c r="I50" s="17">
        <v>0</v>
      </c>
      <c r="J50" s="17">
        <v>130304</v>
      </c>
    </row>
    <row r="51" spans="2:10" hidden="1" outlineLevel="1" x14ac:dyDescent="0.45">
      <c r="B51" s="15" t="s">
        <v>134</v>
      </c>
      <c r="C51" s="15" t="s">
        <v>135</v>
      </c>
      <c r="D51" s="17">
        <v>0</v>
      </c>
      <c r="F51" s="17">
        <v>0</v>
      </c>
      <c r="G51" s="17">
        <v>130304</v>
      </c>
      <c r="I51" s="17">
        <v>0</v>
      </c>
      <c r="J51" s="17">
        <v>130304</v>
      </c>
    </row>
    <row r="52" spans="2:10" hidden="1" outlineLevel="1" x14ac:dyDescent="0.45">
      <c r="B52" s="15" t="s">
        <v>136</v>
      </c>
      <c r="C52" s="15" t="s">
        <v>137</v>
      </c>
      <c r="D52" s="17">
        <v>0</v>
      </c>
      <c r="F52" s="17">
        <v>0</v>
      </c>
      <c r="G52" s="17">
        <v>130304</v>
      </c>
      <c r="I52" s="17">
        <v>0</v>
      </c>
      <c r="J52" s="17">
        <v>130304</v>
      </c>
    </row>
    <row r="53" spans="2:10" hidden="1" outlineLevel="1" x14ac:dyDescent="0.45">
      <c r="B53" s="15" t="s">
        <v>138</v>
      </c>
      <c r="C53" s="15" t="s">
        <v>139</v>
      </c>
      <c r="D53" s="17">
        <v>0</v>
      </c>
      <c r="F53" s="17">
        <v>0</v>
      </c>
      <c r="G53" s="17">
        <v>130304</v>
      </c>
      <c r="I53" s="17">
        <v>0</v>
      </c>
      <c r="J53" s="17">
        <v>130304</v>
      </c>
    </row>
    <row r="54" spans="2:10" hidden="1" outlineLevel="1" x14ac:dyDescent="0.45">
      <c r="B54" s="15" t="s">
        <v>140</v>
      </c>
      <c r="C54" s="15" t="s">
        <v>141</v>
      </c>
      <c r="D54" s="17">
        <v>6120</v>
      </c>
      <c r="F54" s="17">
        <v>6120</v>
      </c>
      <c r="G54" s="17">
        <v>130304</v>
      </c>
      <c r="I54" s="17">
        <v>6120</v>
      </c>
      <c r="J54" s="17">
        <v>130304</v>
      </c>
    </row>
    <row r="55" spans="2:10" hidden="1" outlineLevel="1" x14ac:dyDescent="0.45">
      <c r="B55" s="15" t="s">
        <v>142</v>
      </c>
      <c r="C55" s="15" t="s">
        <v>143</v>
      </c>
      <c r="D55" s="17">
        <v>0</v>
      </c>
      <c r="F55" s="17">
        <v>0</v>
      </c>
      <c r="G55" s="17">
        <v>130304</v>
      </c>
      <c r="I55" s="17">
        <v>0</v>
      </c>
      <c r="J55" s="17">
        <v>130304</v>
      </c>
    </row>
    <row r="56" spans="2:10" hidden="1" outlineLevel="1" x14ac:dyDescent="0.45">
      <c r="B56" s="15" t="s">
        <v>144</v>
      </c>
      <c r="C56" s="15" t="s">
        <v>145</v>
      </c>
      <c r="D56" s="17">
        <v>620</v>
      </c>
      <c r="F56" s="17">
        <v>620</v>
      </c>
      <c r="G56" s="17">
        <v>130304</v>
      </c>
      <c r="I56" s="17">
        <v>620</v>
      </c>
      <c r="J56" s="17">
        <v>130304</v>
      </c>
    </row>
    <row r="57" spans="2:10" hidden="1" outlineLevel="1" x14ac:dyDescent="0.45">
      <c r="B57" s="15" t="s">
        <v>146</v>
      </c>
      <c r="C57" s="15" t="s">
        <v>147</v>
      </c>
      <c r="D57" s="17">
        <v>0</v>
      </c>
      <c r="F57" s="17">
        <v>0</v>
      </c>
      <c r="G57" s="17">
        <v>130304</v>
      </c>
      <c r="I57" s="17">
        <v>0</v>
      </c>
      <c r="J57" s="17">
        <v>130304</v>
      </c>
    </row>
    <row r="58" spans="2:10" hidden="1" outlineLevel="1" x14ac:dyDescent="0.45">
      <c r="B58" s="15" t="s">
        <v>148</v>
      </c>
      <c r="C58" s="15" t="s">
        <v>149</v>
      </c>
      <c r="D58" s="17">
        <v>0</v>
      </c>
      <c r="F58" s="17">
        <v>0</v>
      </c>
      <c r="G58" s="17">
        <v>130304</v>
      </c>
      <c r="I58" s="17">
        <v>0</v>
      </c>
      <c r="J58" s="17">
        <v>130304</v>
      </c>
    </row>
    <row r="59" spans="2:10" hidden="1" outlineLevel="1" x14ac:dyDescent="0.45">
      <c r="B59" s="15" t="s">
        <v>150</v>
      </c>
      <c r="C59" s="15" t="s">
        <v>151</v>
      </c>
      <c r="D59" s="17">
        <v>0</v>
      </c>
      <c r="F59" s="17">
        <v>0</v>
      </c>
      <c r="G59" s="17">
        <v>130304</v>
      </c>
      <c r="I59" s="15" t="e">
        <v>#N/A</v>
      </c>
      <c r="J59" s="15" t="e">
        <v>#N/A</v>
      </c>
    </row>
    <row r="60" spans="2:10" hidden="1" outlineLevel="1" x14ac:dyDescent="0.45">
      <c r="B60" s="15" t="s">
        <v>152</v>
      </c>
      <c r="C60" s="15" t="s">
        <v>153</v>
      </c>
      <c r="D60" s="17">
        <v>0</v>
      </c>
      <c r="F60" s="17">
        <v>0</v>
      </c>
      <c r="G60" s="17">
        <v>130304</v>
      </c>
      <c r="I60" s="15" t="e">
        <v>#N/A</v>
      </c>
      <c r="J60" s="15" t="e">
        <v>#N/A</v>
      </c>
    </row>
    <row r="61" spans="2:10" hidden="1" outlineLevel="1" x14ac:dyDescent="0.45">
      <c r="B61" s="15" t="s">
        <v>154</v>
      </c>
      <c r="C61" s="15" t="s">
        <v>155</v>
      </c>
      <c r="D61" s="17">
        <v>0</v>
      </c>
      <c r="F61" s="17">
        <v>0</v>
      </c>
      <c r="G61" s="17">
        <v>130304</v>
      </c>
      <c r="I61" s="15" t="e">
        <v>#N/A</v>
      </c>
      <c r="J61" s="15" t="e">
        <v>#N/A</v>
      </c>
    </row>
    <row r="62" spans="2:10" hidden="1" outlineLevel="1" x14ac:dyDescent="0.45">
      <c r="B62" s="15" t="s">
        <v>156</v>
      </c>
      <c r="C62" s="15" t="s">
        <v>157</v>
      </c>
      <c r="D62" s="17">
        <v>0</v>
      </c>
      <c r="F62" s="17">
        <v>0</v>
      </c>
      <c r="G62" s="17">
        <v>130304</v>
      </c>
      <c r="I62" s="15" t="e">
        <v>#N/A</v>
      </c>
      <c r="J62" s="15" t="e">
        <v>#N/A</v>
      </c>
    </row>
    <row r="63" spans="2:10" hidden="1" outlineLevel="1" x14ac:dyDescent="0.45">
      <c r="B63" s="15" t="s">
        <v>158</v>
      </c>
      <c r="C63" s="15" t="s">
        <v>159</v>
      </c>
      <c r="D63" s="17">
        <v>0</v>
      </c>
      <c r="F63" s="17">
        <v>0</v>
      </c>
      <c r="G63" s="17">
        <v>130304</v>
      </c>
      <c r="I63" s="15" t="e">
        <v>#N/A</v>
      </c>
      <c r="J63" s="15" t="e">
        <v>#N/A</v>
      </c>
    </row>
    <row r="64" spans="2:10" hidden="1" outlineLevel="1" x14ac:dyDescent="0.45">
      <c r="B64" s="15" t="s">
        <v>160</v>
      </c>
      <c r="C64" s="15" t="s">
        <v>161</v>
      </c>
      <c r="D64" s="17">
        <v>0</v>
      </c>
      <c r="F64" s="17">
        <v>0</v>
      </c>
      <c r="G64" s="17">
        <v>130304</v>
      </c>
      <c r="I64" s="15" t="e">
        <v>#N/A</v>
      </c>
      <c r="J64" s="15" t="e">
        <v>#N/A</v>
      </c>
    </row>
    <row r="65" spans="2:10" hidden="1" outlineLevel="1" x14ac:dyDescent="0.45">
      <c r="B65" s="15" t="s">
        <v>162</v>
      </c>
      <c r="C65" s="15" t="s">
        <v>163</v>
      </c>
      <c r="D65" s="17">
        <v>0</v>
      </c>
      <c r="F65" s="17">
        <v>0</v>
      </c>
      <c r="G65" s="17">
        <v>130304</v>
      </c>
      <c r="I65" s="15" t="e">
        <v>#N/A</v>
      </c>
      <c r="J65" s="15" t="e">
        <v>#N/A</v>
      </c>
    </row>
    <row r="66" spans="2:10" hidden="1" outlineLevel="1" x14ac:dyDescent="0.45">
      <c r="B66" s="15" t="s">
        <v>164</v>
      </c>
      <c r="C66" s="15" t="s">
        <v>165</v>
      </c>
      <c r="D66" s="17">
        <v>0</v>
      </c>
      <c r="F66" s="17">
        <v>0</v>
      </c>
      <c r="G66" s="17">
        <v>130304</v>
      </c>
      <c r="I66" s="17">
        <v>0</v>
      </c>
      <c r="J66" s="17">
        <v>130304</v>
      </c>
    </row>
    <row r="67" spans="2:10" hidden="1" outlineLevel="1" x14ac:dyDescent="0.45">
      <c r="B67" s="15" t="s">
        <v>166</v>
      </c>
      <c r="C67" s="15" t="s">
        <v>167</v>
      </c>
      <c r="D67" s="17">
        <v>4830</v>
      </c>
      <c r="F67" s="17">
        <v>4830</v>
      </c>
      <c r="G67" s="17">
        <v>130304</v>
      </c>
      <c r="I67" s="17">
        <v>4830</v>
      </c>
      <c r="J67" s="17">
        <v>130304</v>
      </c>
    </row>
    <row r="68" spans="2:10" hidden="1" outlineLevel="1" x14ac:dyDescent="0.45">
      <c r="B68" s="15" t="s">
        <v>168</v>
      </c>
      <c r="C68" s="15" t="s">
        <v>169</v>
      </c>
      <c r="D68" s="17">
        <v>2130</v>
      </c>
      <c r="F68" s="17">
        <v>2130</v>
      </c>
      <c r="G68" s="17">
        <v>130304</v>
      </c>
      <c r="I68" s="17">
        <v>2130</v>
      </c>
      <c r="J68" s="17">
        <v>130304</v>
      </c>
    </row>
    <row r="69" spans="2:10" hidden="1" outlineLevel="1" x14ac:dyDescent="0.45">
      <c r="B69" s="15" t="s">
        <v>170</v>
      </c>
      <c r="C69" s="15" t="s">
        <v>171</v>
      </c>
      <c r="D69" s="17">
        <v>0</v>
      </c>
      <c r="F69" s="17">
        <v>0</v>
      </c>
      <c r="G69" s="17">
        <v>130304</v>
      </c>
      <c r="I69" s="17">
        <v>0</v>
      </c>
      <c r="J69" s="17">
        <v>130304</v>
      </c>
    </row>
    <row r="70" spans="2:10" hidden="1" outlineLevel="1" x14ac:dyDescent="0.45">
      <c r="B70" s="15" t="s">
        <v>172</v>
      </c>
      <c r="C70" s="15" t="s">
        <v>173</v>
      </c>
      <c r="D70" s="17">
        <v>0</v>
      </c>
      <c r="F70" s="17">
        <v>0</v>
      </c>
      <c r="G70" s="17">
        <v>130304</v>
      </c>
      <c r="I70" s="17">
        <v>0</v>
      </c>
      <c r="J70" s="17">
        <v>130304</v>
      </c>
    </row>
    <row r="71" spans="2:10" hidden="1" outlineLevel="1" x14ac:dyDescent="0.45">
      <c r="B71" s="15" t="s">
        <v>174</v>
      </c>
      <c r="C71" s="15" t="s">
        <v>175</v>
      </c>
      <c r="D71" s="17">
        <v>0</v>
      </c>
      <c r="F71" s="17">
        <v>0</v>
      </c>
      <c r="G71" s="17">
        <v>130304</v>
      </c>
      <c r="I71" s="15" t="e">
        <v>#N/A</v>
      </c>
      <c r="J71" s="15" t="e">
        <v>#N/A</v>
      </c>
    </row>
    <row r="72" spans="2:10" hidden="1" outlineLevel="1" x14ac:dyDescent="0.45">
      <c r="B72" s="15" t="s">
        <v>176</v>
      </c>
      <c r="C72" s="15" t="s">
        <v>177</v>
      </c>
      <c r="D72" s="17">
        <v>0</v>
      </c>
      <c r="F72" s="17">
        <v>0</v>
      </c>
      <c r="G72" s="17">
        <v>130304</v>
      </c>
      <c r="I72" s="15" t="e">
        <v>#N/A</v>
      </c>
      <c r="J72" s="15" t="e">
        <v>#N/A</v>
      </c>
    </row>
    <row r="73" spans="2:10" ht="14.65" hidden="1" outlineLevel="1" thickBot="1" x14ac:dyDescent="0.5">
      <c r="B73" s="12" t="s">
        <v>178</v>
      </c>
      <c r="C73" s="12" t="s">
        <v>179</v>
      </c>
      <c r="D73" s="16">
        <v>0</v>
      </c>
      <c r="F73" s="16">
        <v>0</v>
      </c>
      <c r="G73" s="16">
        <v>130304</v>
      </c>
      <c r="I73" s="12" t="e">
        <v>#N/A</v>
      </c>
      <c r="J73" s="12" t="e">
        <v>#N/A</v>
      </c>
    </row>
    <row r="74" spans="2:10" collapsed="1" x14ac:dyDescent="0.45">
      <c r="B74" s="14"/>
      <c r="C74" s="14"/>
      <c r="D74" s="18"/>
      <c r="F74" s="18"/>
      <c r="G74" s="18"/>
      <c r="I74" s="14"/>
      <c r="J74"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11553-64FC-4B92-BBD7-AA82B3C1996E}">
  <dimension ref="A4:AG67"/>
  <sheetViews>
    <sheetView tabSelected="1" topLeftCell="A15" zoomScale="58" workbookViewId="0">
      <selection activeCell="G70" sqref="G70"/>
    </sheetView>
  </sheetViews>
  <sheetFormatPr defaultRowHeight="14.25" x14ac:dyDescent="0.45"/>
  <cols>
    <col min="1" max="1" width="20.796875" customWidth="1"/>
  </cols>
  <sheetData>
    <row r="4" spans="1:20" x14ac:dyDescent="0.45">
      <c r="B4" t="s">
        <v>1</v>
      </c>
      <c r="C4" t="s">
        <v>2</v>
      </c>
    </row>
    <row r="5" spans="1:20" x14ac:dyDescent="0.45">
      <c r="A5" t="s">
        <v>0</v>
      </c>
      <c r="B5">
        <v>30000</v>
      </c>
      <c r="C5">
        <v>20000</v>
      </c>
    </row>
    <row r="6" spans="1:20" x14ac:dyDescent="0.45">
      <c r="A6" t="s">
        <v>24</v>
      </c>
      <c r="B6">
        <v>10.5</v>
      </c>
      <c r="C6">
        <v>10</v>
      </c>
    </row>
    <row r="8" spans="1:20" x14ac:dyDescent="0.45">
      <c r="A8" t="s">
        <v>21</v>
      </c>
      <c r="G8" t="s">
        <v>23</v>
      </c>
      <c r="K8" t="s">
        <v>22</v>
      </c>
    </row>
    <row r="9" spans="1:20" x14ac:dyDescent="0.45">
      <c r="A9" t="s">
        <v>3</v>
      </c>
      <c r="B9" t="s">
        <v>4</v>
      </c>
      <c r="C9" t="s">
        <v>5</v>
      </c>
      <c r="D9" t="s">
        <v>6</v>
      </c>
      <c r="G9" t="s">
        <v>19</v>
      </c>
      <c r="H9" t="s">
        <v>9</v>
      </c>
      <c r="L9" t="s">
        <v>10</v>
      </c>
      <c r="M9" t="s">
        <v>11</v>
      </c>
      <c r="N9" t="s">
        <v>12</v>
      </c>
      <c r="O9" t="s">
        <v>13</v>
      </c>
      <c r="P9" t="s">
        <v>14</v>
      </c>
      <c r="Q9" t="s">
        <v>15</v>
      </c>
      <c r="R9" t="s">
        <v>16</v>
      </c>
      <c r="S9" t="s">
        <v>17</v>
      </c>
      <c r="T9" t="s">
        <v>18</v>
      </c>
    </row>
    <row r="10" spans="1:20" x14ac:dyDescent="0.45">
      <c r="G10" t="s">
        <v>10</v>
      </c>
      <c r="H10">
        <v>6300</v>
      </c>
      <c r="K10" t="s">
        <v>4</v>
      </c>
      <c r="L10">
        <v>0.3</v>
      </c>
      <c r="M10">
        <v>2.1</v>
      </c>
      <c r="N10">
        <v>3.1</v>
      </c>
      <c r="O10">
        <v>4.4000000000000004</v>
      </c>
      <c r="P10">
        <v>6</v>
      </c>
      <c r="Q10" t="s">
        <v>8</v>
      </c>
      <c r="R10" t="s">
        <v>8</v>
      </c>
      <c r="S10" t="s">
        <v>8</v>
      </c>
      <c r="T10" t="s">
        <v>8</v>
      </c>
    </row>
    <row r="11" spans="1:20" x14ac:dyDescent="0.45">
      <c r="A11" t="s">
        <v>1</v>
      </c>
      <c r="B11">
        <v>3.2</v>
      </c>
      <c r="C11">
        <v>2.2000000000000002</v>
      </c>
      <c r="D11">
        <v>4.2</v>
      </c>
      <c r="G11" t="s">
        <v>11</v>
      </c>
      <c r="H11">
        <v>4880</v>
      </c>
      <c r="K11" t="s">
        <v>5</v>
      </c>
      <c r="L11">
        <v>5.2</v>
      </c>
      <c r="M11">
        <v>5.4</v>
      </c>
      <c r="N11">
        <v>4.5</v>
      </c>
      <c r="O11">
        <v>6</v>
      </c>
      <c r="P11">
        <v>2.7</v>
      </c>
      <c r="Q11">
        <v>4.7</v>
      </c>
      <c r="R11">
        <v>3.4</v>
      </c>
      <c r="S11">
        <v>3.3</v>
      </c>
      <c r="T11">
        <v>2.7</v>
      </c>
    </row>
    <row r="12" spans="1:20" x14ac:dyDescent="0.45">
      <c r="A12" t="s">
        <v>7</v>
      </c>
      <c r="B12" t="s">
        <v>8</v>
      </c>
      <c r="C12">
        <v>3.9</v>
      </c>
      <c r="D12">
        <v>1.2</v>
      </c>
      <c r="G12" t="s">
        <v>12</v>
      </c>
      <c r="H12">
        <v>2130</v>
      </c>
      <c r="K12" t="s">
        <v>6</v>
      </c>
      <c r="L12" t="s">
        <v>8</v>
      </c>
      <c r="M12" t="s">
        <v>8</v>
      </c>
      <c r="N12" t="s">
        <v>8</v>
      </c>
      <c r="O12" t="s">
        <v>8</v>
      </c>
      <c r="P12">
        <v>5.4</v>
      </c>
      <c r="Q12">
        <v>3.3</v>
      </c>
      <c r="R12">
        <v>2.4</v>
      </c>
      <c r="S12">
        <v>2.1</v>
      </c>
      <c r="T12">
        <v>2.5</v>
      </c>
    </row>
    <row r="13" spans="1:20" x14ac:dyDescent="0.45">
      <c r="G13" t="s">
        <v>13</v>
      </c>
      <c r="H13">
        <v>1210</v>
      </c>
    </row>
    <row r="14" spans="1:20" x14ac:dyDescent="0.45">
      <c r="G14" t="s">
        <v>14</v>
      </c>
      <c r="H14">
        <v>6120</v>
      </c>
    </row>
    <row r="15" spans="1:20" x14ac:dyDescent="0.45">
      <c r="G15" t="s">
        <v>15</v>
      </c>
      <c r="H15">
        <v>4830</v>
      </c>
    </row>
    <row r="16" spans="1:20" x14ac:dyDescent="0.45">
      <c r="G16" t="s">
        <v>16</v>
      </c>
      <c r="H16">
        <v>2750</v>
      </c>
    </row>
    <row r="17" spans="2:33" x14ac:dyDescent="0.45">
      <c r="G17" t="s">
        <v>17</v>
      </c>
      <c r="H17">
        <v>8580</v>
      </c>
    </row>
    <row r="18" spans="2:33" x14ac:dyDescent="0.45">
      <c r="G18" t="s">
        <v>18</v>
      </c>
      <c r="H18">
        <v>4460</v>
      </c>
    </row>
    <row r="21" spans="2:33" ht="14.65" thickBot="1" x14ac:dyDescent="0.5"/>
    <row r="22" spans="2:33" x14ac:dyDescent="0.45">
      <c r="B22" s="2" t="s">
        <v>20</v>
      </c>
      <c r="C22" s="3" t="s">
        <v>25</v>
      </c>
      <c r="D22" s="3"/>
      <c r="E22" s="3"/>
      <c r="F22" s="3"/>
      <c r="G22" s="3"/>
      <c r="H22" s="3"/>
      <c r="I22" s="3"/>
      <c r="J22" s="3"/>
      <c r="K22" s="3"/>
      <c r="L22" s="3"/>
      <c r="M22" s="3"/>
      <c r="N22" s="3"/>
      <c r="O22" s="4"/>
      <c r="Q22" s="2"/>
      <c r="R22" s="3"/>
      <c r="S22" s="3"/>
      <c r="T22" s="3"/>
      <c r="U22" s="3"/>
      <c r="V22" s="3"/>
      <c r="W22" s="3"/>
      <c r="X22" s="3"/>
      <c r="Y22" s="3"/>
      <c r="Z22" s="3"/>
      <c r="AA22" s="3"/>
      <c r="AB22" s="3"/>
      <c r="AC22" s="3"/>
      <c r="AD22" s="4"/>
    </row>
    <row r="23" spans="2:33" x14ac:dyDescent="0.45">
      <c r="B23" s="5"/>
      <c r="C23" s="6"/>
      <c r="D23" s="6"/>
      <c r="E23" s="6"/>
      <c r="F23" s="6"/>
      <c r="G23" s="6"/>
      <c r="H23" s="6"/>
      <c r="I23" s="6"/>
      <c r="J23" s="6"/>
      <c r="K23" s="6"/>
      <c r="L23" s="6"/>
      <c r="M23" s="6"/>
      <c r="N23" s="6"/>
      <c r="O23" s="7"/>
      <c r="Q23" s="5"/>
      <c r="R23" s="6"/>
      <c r="S23" s="6"/>
      <c r="T23" s="6"/>
      <c r="U23" s="6"/>
      <c r="V23" s="6"/>
      <c r="W23" s="6"/>
      <c r="X23" s="6"/>
      <c r="Y23" s="6"/>
      <c r="Z23" s="6"/>
      <c r="AA23" s="6"/>
      <c r="AB23" s="6"/>
      <c r="AC23" s="6"/>
      <c r="AD23" s="7"/>
    </row>
    <row r="24" spans="2:33" x14ac:dyDescent="0.45">
      <c r="B24" s="5"/>
      <c r="C24" s="6" t="s">
        <v>10</v>
      </c>
      <c r="D24" s="6" t="s">
        <v>11</v>
      </c>
      <c r="E24" s="6" t="s">
        <v>12</v>
      </c>
      <c r="F24" s="6" t="s">
        <v>13</v>
      </c>
      <c r="G24" s="6" t="s">
        <v>14</v>
      </c>
      <c r="H24" s="6" t="s">
        <v>15</v>
      </c>
      <c r="I24" s="6" t="s">
        <v>16</v>
      </c>
      <c r="J24" s="6" t="s">
        <v>17</v>
      </c>
      <c r="K24" s="6" t="s">
        <v>18</v>
      </c>
      <c r="L24" s="6" t="s">
        <v>4</v>
      </c>
      <c r="M24" s="6" t="s">
        <v>5</v>
      </c>
      <c r="N24" s="6" t="s">
        <v>6</v>
      </c>
      <c r="O24" s="7"/>
      <c r="Q24" s="5"/>
      <c r="R24" s="6" t="s">
        <v>10</v>
      </c>
      <c r="S24" s="6" t="s">
        <v>11</v>
      </c>
      <c r="T24" s="6" t="s">
        <v>12</v>
      </c>
      <c r="U24" s="6" t="s">
        <v>13</v>
      </c>
      <c r="V24" s="6" t="s">
        <v>14</v>
      </c>
      <c r="W24" s="6" t="s">
        <v>15</v>
      </c>
      <c r="X24" s="6" t="s">
        <v>16</v>
      </c>
      <c r="Y24" s="6" t="s">
        <v>17</v>
      </c>
      <c r="Z24" s="6" t="s">
        <v>18</v>
      </c>
      <c r="AA24" s="6" t="s">
        <v>4</v>
      </c>
      <c r="AB24" s="6" t="s">
        <v>5</v>
      </c>
      <c r="AC24" s="6" t="s">
        <v>6</v>
      </c>
      <c r="AD24" s="7"/>
    </row>
    <row r="25" spans="2:33" x14ac:dyDescent="0.45">
      <c r="B25" s="5" t="s">
        <v>1</v>
      </c>
      <c r="C25" s="6"/>
      <c r="D25" s="6"/>
      <c r="E25" s="6"/>
      <c r="F25" s="6"/>
      <c r="G25" s="6"/>
      <c r="H25" s="6"/>
      <c r="I25" s="6"/>
      <c r="J25" s="6"/>
      <c r="K25" s="6"/>
      <c r="L25" s="6">
        <v>3.2</v>
      </c>
      <c r="M25" s="6">
        <v>2.2000000000000002</v>
      </c>
      <c r="N25" s="6">
        <v>4.2</v>
      </c>
      <c r="O25" s="7">
        <v>30000</v>
      </c>
      <c r="Q25" s="5" t="s">
        <v>1</v>
      </c>
      <c r="R25" s="6">
        <v>0</v>
      </c>
      <c r="S25" s="6">
        <v>0</v>
      </c>
      <c r="T25" s="6">
        <v>0</v>
      </c>
      <c r="U25" s="6">
        <v>0</v>
      </c>
      <c r="V25" s="6">
        <v>0</v>
      </c>
      <c r="W25" s="6">
        <v>0</v>
      </c>
      <c r="X25" s="6">
        <v>0</v>
      </c>
      <c r="Y25" s="6">
        <v>0</v>
      </c>
      <c r="Z25" s="6">
        <v>0</v>
      </c>
      <c r="AA25" s="6">
        <v>14520</v>
      </c>
      <c r="AB25" s="6">
        <v>13700</v>
      </c>
      <c r="AC25" s="6">
        <v>0</v>
      </c>
      <c r="AD25" s="7">
        <f>SUMIF(C25:N25,"&gt;0",R25:AC25)</f>
        <v>28220</v>
      </c>
      <c r="AF25" s="1" t="s">
        <v>30</v>
      </c>
      <c r="AG25" s="1">
        <f>SUMPRODUCT(B11:D12,AA25:AC26)+SUMPRODUCT(C27:K29,R27:Z29) + (B6*AD25)+(C6*AD26)</f>
        <v>620770</v>
      </c>
    </row>
    <row r="26" spans="2:33" x14ac:dyDescent="0.45">
      <c r="B26" s="5" t="s">
        <v>29</v>
      </c>
      <c r="C26" s="6"/>
      <c r="D26" s="6"/>
      <c r="E26" s="6"/>
      <c r="F26" s="6"/>
      <c r="G26" s="6"/>
      <c r="H26" s="6"/>
      <c r="I26" s="6"/>
      <c r="J26" s="6"/>
      <c r="K26" s="6"/>
      <c r="L26" s="6" t="s">
        <v>8</v>
      </c>
      <c r="M26" s="6">
        <v>3.9</v>
      </c>
      <c r="N26" s="6">
        <v>1.2</v>
      </c>
      <c r="O26" s="7">
        <v>20000</v>
      </c>
      <c r="Q26" s="5" t="s">
        <v>29</v>
      </c>
      <c r="R26" s="6">
        <v>0</v>
      </c>
      <c r="S26" s="6">
        <v>0</v>
      </c>
      <c r="T26" s="6">
        <v>0</v>
      </c>
      <c r="U26" s="6">
        <v>0</v>
      </c>
      <c r="V26" s="6">
        <v>0</v>
      </c>
      <c r="W26" s="6">
        <v>0</v>
      </c>
      <c r="X26" s="6">
        <v>0</v>
      </c>
      <c r="Y26" s="6">
        <v>0</v>
      </c>
      <c r="Z26" s="6">
        <v>0</v>
      </c>
      <c r="AA26" s="6">
        <v>0</v>
      </c>
      <c r="AB26" s="6">
        <v>0</v>
      </c>
      <c r="AC26" s="6">
        <v>13040</v>
      </c>
      <c r="AD26" s="7">
        <f t="shared" ref="AD26:AD29" si="0">SUMIF(C26:N26,"&gt;0",R26:AC26)</f>
        <v>13040</v>
      </c>
    </row>
    <row r="27" spans="2:33" x14ac:dyDescent="0.45">
      <c r="B27" s="5" t="s">
        <v>4</v>
      </c>
      <c r="C27" s="6">
        <v>0.3</v>
      </c>
      <c r="D27" s="6">
        <v>2.1</v>
      </c>
      <c r="E27" s="6">
        <v>3.1</v>
      </c>
      <c r="F27" s="6">
        <v>4.4000000000000004</v>
      </c>
      <c r="G27" s="6" t="s">
        <v>8</v>
      </c>
      <c r="H27" s="6" t="s">
        <v>8</v>
      </c>
      <c r="I27" s="6" t="s">
        <v>8</v>
      </c>
      <c r="J27" s="6" t="s">
        <v>8</v>
      </c>
      <c r="K27" s="6" t="s">
        <v>8</v>
      </c>
      <c r="L27" s="6"/>
      <c r="M27" s="6"/>
      <c r="N27" s="6"/>
      <c r="O27" s="7"/>
      <c r="Q27" s="5" t="s">
        <v>4</v>
      </c>
      <c r="R27" s="6">
        <v>6300</v>
      </c>
      <c r="S27" s="6">
        <v>4880</v>
      </c>
      <c r="T27" s="6">
        <v>2130</v>
      </c>
      <c r="U27" s="6">
        <v>1210</v>
      </c>
      <c r="V27" s="6">
        <v>0</v>
      </c>
      <c r="W27" s="6">
        <v>0</v>
      </c>
      <c r="X27" s="6">
        <v>0</v>
      </c>
      <c r="Y27" s="6">
        <v>0</v>
      </c>
      <c r="Z27" s="6">
        <v>0</v>
      </c>
      <c r="AA27" s="6">
        <v>0</v>
      </c>
      <c r="AB27" s="6">
        <v>0</v>
      </c>
      <c r="AC27" s="6">
        <v>0</v>
      </c>
      <c r="AD27" s="7">
        <f t="shared" si="0"/>
        <v>14520</v>
      </c>
    </row>
    <row r="28" spans="2:33" x14ac:dyDescent="0.45">
      <c r="B28" s="5" t="s">
        <v>5</v>
      </c>
      <c r="C28" s="6" t="s">
        <v>8</v>
      </c>
      <c r="D28" s="6" t="s">
        <v>8</v>
      </c>
      <c r="E28" s="6" t="s">
        <v>8</v>
      </c>
      <c r="F28" s="6" t="s">
        <v>8</v>
      </c>
      <c r="G28" s="6">
        <v>2.7</v>
      </c>
      <c r="H28" s="6">
        <v>4.7</v>
      </c>
      <c r="I28" s="6">
        <v>3.4</v>
      </c>
      <c r="J28" s="6" t="s">
        <v>8</v>
      </c>
      <c r="K28" s="6" t="s">
        <v>8</v>
      </c>
      <c r="L28" s="6"/>
      <c r="M28" s="6"/>
      <c r="N28" s="6"/>
      <c r="O28" s="7"/>
      <c r="Q28" s="5" t="s">
        <v>5</v>
      </c>
      <c r="R28" s="6">
        <v>0</v>
      </c>
      <c r="S28" s="6">
        <v>0</v>
      </c>
      <c r="T28" s="6">
        <v>0</v>
      </c>
      <c r="U28" s="6">
        <v>0</v>
      </c>
      <c r="V28" s="6">
        <v>6120</v>
      </c>
      <c r="W28" s="6">
        <v>4830</v>
      </c>
      <c r="X28" s="6">
        <v>2750</v>
      </c>
      <c r="Y28" s="6">
        <v>0</v>
      </c>
      <c r="Z28" s="6">
        <v>0</v>
      </c>
      <c r="AA28" s="6">
        <v>0</v>
      </c>
      <c r="AB28" s="6">
        <v>0</v>
      </c>
      <c r="AC28" s="6">
        <v>0</v>
      </c>
      <c r="AD28" s="7">
        <f t="shared" si="0"/>
        <v>13700</v>
      </c>
    </row>
    <row r="29" spans="2:33" x14ac:dyDescent="0.45">
      <c r="B29" s="5" t="s">
        <v>6</v>
      </c>
      <c r="C29" s="6" t="s">
        <v>8</v>
      </c>
      <c r="D29" s="6" t="s">
        <v>8</v>
      </c>
      <c r="E29" s="6" t="s">
        <v>8</v>
      </c>
      <c r="F29" s="6" t="s">
        <v>8</v>
      </c>
      <c r="G29" s="6">
        <v>5.4</v>
      </c>
      <c r="H29" s="6" t="s">
        <v>8</v>
      </c>
      <c r="I29" s="6" t="s">
        <v>8</v>
      </c>
      <c r="J29" s="6">
        <v>2.1</v>
      </c>
      <c r="K29" s="6">
        <v>2.5</v>
      </c>
      <c r="L29" s="6"/>
      <c r="M29" s="6"/>
      <c r="N29" s="6"/>
      <c r="O29" s="7"/>
      <c r="Q29" s="5" t="s">
        <v>6</v>
      </c>
      <c r="R29" s="6">
        <v>0</v>
      </c>
      <c r="S29" s="6">
        <v>0</v>
      </c>
      <c r="T29" s="6">
        <v>0</v>
      </c>
      <c r="U29" s="6">
        <v>0</v>
      </c>
      <c r="V29" s="6">
        <v>0</v>
      </c>
      <c r="W29" s="6">
        <v>0</v>
      </c>
      <c r="X29" s="6">
        <v>0</v>
      </c>
      <c r="Y29" s="6">
        <v>8580</v>
      </c>
      <c r="Z29" s="6">
        <v>4460</v>
      </c>
      <c r="AA29" s="6">
        <v>0</v>
      </c>
      <c r="AB29" s="6">
        <v>0</v>
      </c>
      <c r="AC29" s="6">
        <v>0</v>
      </c>
      <c r="AD29" s="7">
        <f t="shared" si="0"/>
        <v>13040</v>
      </c>
    </row>
    <row r="30" spans="2:33" ht="14.65" thickBot="1" x14ac:dyDescent="0.5">
      <c r="B30" s="8"/>
      <c r="C30" s="9">
        <v>6300</v>
      </c>
      <c r="D30" s="9">
        <v>4880</v>
      </c>
      <c r="E30" s="9">
        <v>2130</v>
      </c>
      <c r="F30" s="9">
        <v>1210</v>
      </c>
      <c r="G30" s="9">
        <v>6120</v>
      </c>
      <c r="H30" s="9">
        <v>4830</v>
      </c>
      <c r="I30" s="9">
        <v>2750</v>
      </c>
      <c r="J30" s="9">
        <v>8580</v>
      </c>
      <c r="K30" s="9">
        <v>4460</v>
      </c>
      <c r="L30" s="9"/>
      <c r="M30" s="9"/>
      <c r="N30" s="9"/>
      <c r="O30" s="10"/>
      <c r="Q30" s="8"/>
      <c r="R30" s="9">
        <f>SUMIF(C25:C29,"&gt;0",R25:R29)</f>
        <v>6300</v>
      </c>
      <c r="S30" s="9">
        <f t="shared" ref="S30:AC30" si="1">SUMIF(D25:D29,"&gt;0",S25:S29)</f>
        <v>4880</v>
      </c>
      <c r="T30" s="9">
        <f t="shared" si="1"/>
        <v>2130</v>
      </c>
      <c r="U30" s="9">
        <f t="shared" si="1"/>
        <v>1210</v>
      </c>
      <c r="V30" s="9">
        <f t="shared" si="1"/>
        <v>6120</v>
      </c>
      <c r="W30" s="9">
        <f t="shared" si="1"/>
        <v>4830</v>
      </c>
      <c r="X30" s="9">
        <f t="shared" si="1"/>
        <v>2750</v>
      </c>
      <c r="Y30" s="9">
        <f t="shared" si="1"/>
        <v>8580</v>
      </c>
      <c r="Z30" s="9">
        <f t="shared" si="1"/>
        <v>4460</v>
      </c>
      <c r="AA30" s="9">
        <f t="shared" si="1"/>
        <v>14520</v>
      </c>
      <c r="AB30" s="9">
        <f t="shared" si="1"/>
        <v>13700</v>
      </c>
      <c r="AC30" s="9">
        <f t="shared" si="1"/>
        <v>13040</v>
      </c>
      <c r="AD30" s="10"/>
    </row>
    <row r="33" spans="2:33" ht="14.65" thickBot="1" x14ac:dyDescent="0.5"/>
    <row r="34" spans="2:33" x14ac:dyDescent="0.45">
      <c r="B34" s="2" t="s">
        <v>27</v>
      </c>
      <c r="C34" s="3" t="s">
        <v>28</v>
      </c>
      <c r="D34" s="3"/>
      <c r="E34" s="3"/>
      <c r="F34" s="3"/>
      <c r="G34" s="3"/>
      <c r="H34" s="3"/>
      <c r="I34" s="3"/>
      <c r="J34" s="3"/>
      <c r="K34" s="3"/>
      <c r="L34" s="3"/>
      <c r="M34" s="3"/>
      <c r="N34" s="3"/>
      <c r="O34" s="4"/>
      <c r="Q34" s="2"/>
      <c r="R34" s="3"/>
      <c r="S34" s="3"/>
      <c r="T34" s="3"/>
      <c r="U34" s="3"/>
      <c r="V34" s="3"/>
      <c r="W34" s="3"/>
      <c r="X34" s="3"/>
      <c r="Y34" s="3"/>
      <c r="Z34" s="3"/>
      <c r="AA34" s="3"/>
      <c r="AB34" s="3"/>
      <c r="AC34" s="3"/>
      <c r="AD34" s="4"/>
    </row>
    <row r="35" spans="2:33" x14ac:dyDescent="0.45">
      <c r="B35" s="5"/>
      <c r="C35" s="6"/>
      <c r="D35" s="6"/>
      <c r="E35" s="6"/>
      <c r="F35" s="6"/>
      <c r="G35" s="6"/>
      <c r="H35" s="6"/>
      <c r="I35" s="6"/>
      <c r="J35" s="6"/>
      <c r="K35" s="6"/>
      <c r="L35" s="6"/>
      <c r="M35" s="6"/>
      <c r="N35" s="6"/>
      <c r="O35" s="7"/>
      <c r="Q35" s="5"/>
      <c r="R35" s="6"/>
      <c r="S35" s="6"/>
      <c r="T35" s="6"/>
      <c r="U35" s="6"/>
      <c r="V35" s="6"/>
      <c r="W35" s="6"/>
      <c r="X35" s="6"/>
      <c r="Y35" s="6"/>
      <c r="Z35" s="6"/>
      <c r="AA35" s="6"/>
      <c r="AB35" s="6"/>
      <c r="AC35" s="6"/>
      <c r="AD35" s="7"/>
    </row>
    <row r="36" spans="2:33" x14ac:dyDescent="0.45">
      <c r="B36" s="5"/>
      <c r="C36" s="6" t="s">
        <v>10</v>
      </c>
      <c r="D36" s="6" t="s">
        <v>11</v>
      </c>
      <c r="E36" s="6" t="s">
        <v>12</v>
      </c>
      <c r="F36" s="6" t="s">
        <v>13</v>
      </c>
      <c r="G36" s="6" t="s">
        <v>14</v>
      </c>
      <c r="H36" s="6" t="s">
        <v>15</v>
      </c>
      <c r="I36" s="6" t="s">
        <v>16</v>
      </c>
      <c r="J36" s="6" t="s">
        <v>17</v>
      </c>
      <c r="K36" s="6" t="s">
        <v>18</v>
      </c>
      <c r="L36" s="6" t="s">
        <v>4</v>
      </c>
      <c r="M36" s="6" t="s">
        <v>5</v>
      </c>
      <c r="N36" s="6" t="s">
        <v>6</v>
      </c>
      <c r="O36" s="7"/>
      <c r="Q36" s="5"/>
      <c r="R36" s="6" t="s">
        <v>10</v>
      </c>
      <c r="S36" s="6" t="s">
        <v>11</v>
      </c>
      <c r="T36" s="6" t="s">
        <v>12</v>
      </c>
      <c r="U36" s="6" t="s">
        <v>13</v>
      </c>
      <c r="V36" s="6" t="s">
        <v>14</v>
      </c>
      <c r="W36" s="6" t="s">
        <v>15</v>
      </c>
      <c r="X36" s="6" t="s">
        <v>16</v>
      </c>
      <c r="Y36" s="6" t="s">
        <v>17</v>
      </c>
      <c r="Z36" s="6" t="s">
        <v>18</v>
      </c>
      <c r="AA36" s="6" t="s">
        <v>4</v>
      </c>
      <c r="AB36" s="6" t="s">
        <v>5</v>
      </c>
      <c r="AC36" s="6" t="s">
        <v>6</v>
      </c>
      <c r="AD36" s="7"/>
    </row>
    <row r="37" spans="2:33" x14ac:dyDescent="0.45">
      <c r="B37" s="5" t="s">
        <v>1</v>
      </c>
      <c r="C37" s="6"/>
      <c r="D37" s="6"/>
      <c r="E37" s="6"/>
      <c r="F37" s="6"/>
      <c r="G37" s="6"/>
      <c r="H37" s="6"/>
      <c r="I37" s="6"/>
      <c r="J37" s="6"/>
      <c r="K37" s="6"/>
      <c r="L37" s="6">
        <v>3.2</v>
      </c>
      <c r="M37" s="6">
        <v>2.2000000000000002</v>
      </c>
      <c r="N37" s="6">
        <v>4.2</v>
      </c>
      <c r="O37" s="7">
        <v>30000</v>
      </c>
      <c r="Q37" s="5" t="s">
        <v>1</v>
      </c>
      <c r="R37" s="6">
        <v>0</v>
      </c>
      <c r="S37" s="6">
        <v>0</v>
      </c>
      <c r="T37" s="6">
        <v>0</v>
      </c>
      <c r="U37" s="6">
        <v>0</v>
      </c>
      <c r="V37" s="6">
        <v>0</v>
      </c>
      <c r="W37" s="6">
        <v>0</v>
      </c>
      <c r="X37" s="6">
        <v>0</v>
      </c>
      <c r="Y37" s="6">
        <v>0</v>
      </c>
      <c r="Z37" s="6">
        <v>0</v>
      </c>
      <c r="AA37" s="6">
        <v>14520</v>
      </c>
      <c r="AB37" s="6">
        <v>6740</v>
      </c>
      <c r="AC37" s="6">
        <v>0</v>
      </c>
      <c r="AD37" s="7">
        <f>SUMIF(C37:N37,"&gt;0",R37:AC37)</f>
        <v>21260</v>
      </c>
      <c r="AF37" s="1" t="s">
        <v>30</v>
      </c>
      <c r="AG37" s="1">
        <f>SUMPRODUCT(AA37:AC38,B11:D12)+SUMPRODUCT(R39:Z41,C39:K41)+ (B6*AD37)+(C6*AD38)</f>
        <v>600942</v>
      </c>
    </row>
    <row r="38" spans="2:33" x14ac:dyDescent="0.45">
      <c r="B38" s="5" t="s">
        <v>29</v>
      </c>
      <c r="C38" s="6"/>
      <c r="D38" s="6"/>
      <c r="E38" s="6"/>
      <c r="F38" s="6"/>
      <c r="G38" s="6"/>
      <c r="H38" s="6"/>
      <c r="I38" s="6"/>
      <c r="J38" s="6"/>
      <c r="K38" s="6"/>
      <c r="L38" s="6" t="s">
        <v>8</v>
      </c>
      <c r="M38" s="6">
        <v>3.9</v>
      </c>
      <c r="N38" s="6">
        <v>1.2</v>
      </c>
      <c r="O38" s="7">
        <v>20000</v>
      </c>
      <c r="Q38" s="5" t="s">
        <v>29</v>
      </c>
      <c r="R38" s="6">
        <v>0</v>
      </c>
      <c r="S38" s="6">
        <v>0</v>
      </c>
      <c r="T38" s="6">
        <v>0</v>
      </c>
      <c r="U38" s="6">
        <v>0</v>
      </c>
      <c r="V38" s="6">
        <v>0</v>
      </c>
      <c r="W38" s="6">
        <v>0</v>
      </c>
      <c r="X38" s="6">
        <v>0</v>
      </c>
      <c r="Y38" s="6">
        <v>0</v>
      </c>
      <c r="Z38" s="6">
        <v>0</v>
      </c>
      <c r="AA38" s="6">
        <v>0</v>
      </c>
      <c r="AB38" s="6">
        <v>0</v>
      </c>
      <c r="AC38" s="6">
        <v>20000</v>
      </c>
      <c r="AD38" s="7">
        <f t="shared" ref="AD38:AD41" si="2">SUMIF(C38:N38,"&gt;0",R38:AC38)</f>
        <v>20000</v>
      </c>
    </row>
    <row r="39" spans="2:33" x14ac:dyDescent="0.45">
      <c r="B39" s="5" t="s">
        <v>4</v>
      </c>
      <c r="C39" s="6">
        <v>0.3</v>
      </c>
      <c r="D39" s="6">
        <v>2.1</v>
      </c>
      <c r="E39" s="6">
        <v>3.1</v>
      </c>
      <c r="F39" s="6">
        <v>4.4000000000000004</v>
      </c>
      <c r="G39" s="6">
        <v>6</v>
      </c>
      <c r="H39" s="6" t="s">
        <v>8</v>
      </c>
      <c r="I39" s="6" t="s">
        <v>8</v>
      </c>
      <c r="J39" s="6" t="s">
        <v>8</v>
      </c>
      <c r="K39" s="6" t="s">
        <v>8</v>
      </c>
      <c r="L39" s="6"/>
      <c r="M39" s="6"/>
      <c r="N39" s="6"/>
      <c r="O39" s="7"/>
      <c r="Q39" s="5" t="s">
        <v>4</v>
      </c>
      <c r="R39" s="6">
        <v>6300</v>
      </c>
      <c r="S39" s="6">
        <v>4880</v>
      </c>
      <c r="T39" s="6">
        <v>2130</v>
      </c>
      <c r="U39" s="6">
        <v>1210</v>
      </c>
      <c r="V39" s="6">
        <v>0</v>
      </c>
      <c r="W39" s="6">
        <v>0</v>
      </c>
      <c r="X39" s="6">
        <v>0</v>
      </c>
      <c r="Y39" s="6">
        <v>0</v>
      </c>
      <c r="Z39" s="6">
        <v>0</v>
      </c>
      <c r="AA39" s="6">
        <v>0</v>
      </c>
      <c r="AB39" s="6">
        <v>0</v>
      </c>
      <c r="AC39" s="6">
        <v>0</v>
      </c>
      <c r="AD39" s="7">
        <f t="shared" si="2"/>
        <v>14520</v>
      </c>
    </row>
    <row r="40" spans="2:33" x14ac:dyDescent="0.45">
      <c r="B40" s="5" t="s">
        <v>5</v>
      </c>
      <c r="C40" s="6">
        <v>5.2</v>
      </c>
      <c r="D40" s="6">
        <v>5.4</v>
      </c>
      <c r="E40" s="6">
        <v>4.5</v>
      </c>
      <c r="F40" s="6">
        <v>6</v>
      </c>
      <c r="G40" s="6">
        <v>2.7</v>
      </c>
      <c r="H40" s="6">
        <v>4.7</v>
      </c>
      <c r="I40" s="6">
        <v>3.4</v>
      </c>
      <c r="J40" s="6">
        <v>3.3</v>
      </c>
      <c r="K40" s="6">
        <v>2.7</v>
      </c>
      <c r="L40" s="6"/>
      <c r="M40" s="6"/>
      <c r="N40" s="6"/>
      <c r="O40" s="7"/>
      <c r="Q40" s="5" t="s">
        <v>5</v>
      </c>
      <c r="R40" s="6">
        <v>0</v>
      </c>
      <c r="S40" s="6">
        <v>0</v>
      </c>
      <c r="T40" s="6">
        <v>0</v>
      </c>
      <c r="U40" s="6">
        <v>0</v>
      </c>
      <c r="V40" s="6">
        <v>6120</v>
      </c>
      <c r="W40" s="6">
        <v>0</v>
      </c>
      <c r="X40" s="6">
        <v>0</v>
      </c>
      <c r="Y40" s="6">
        <v>0</v>
      </c>
      <c r="Z40" s="6">
        <v>620</v>
      </c>
      <c r="AA40" s="6">
        <v>0</v>
      </c>
      <c r="AB40" s="6">
        <v>0</v>
      </c>
      <c r="AC40" s="6">
        <v>0</v>
      </c>
      <c r="AD40" s="7">
        <f t="shared" si="2"/>
        <v>6740</v>
      </c>
    </row>
    <row r="41" spans="2:33" x14ac:dyDescent="0.45">
      <c r="B41" s="5" t="s">
        <v>6</v>
      </c>
      <c r="C41" s="6" t="s">
        <v>8</v>
      </c>
      <c r="D41" s="6" t="s">
        <v>8</v>
      </c>
      <c r="E41" s="6" t="s">
        <v>8</v>
      </c>
      <c r="F41" s="6" t="s">
        <v>8</v>
      </c>
      <c r="G41" s="6">
        <v>5.4</v>
      </c>
      <c r="H41" s="6">
        <v>3.3</v>
      </c>
      <c r="I41" s="6">
        <v>2.4</v>
      </c>
      <c r="J41" s="6">
        <v>2.1</v>
      </c>
      <c r="K41" s="6">
        <v>2.5</v>
      </c>
      <c r="L41" s="6"/>
      <c r="M41" s="6"/>
      <c r="N41" s="6"/>
      <c r="O41" s="7"/>
      <c r="Q41" s="5" t="s">
        <v>6</v>
      </c>
      <c r="R41" s="6">
        <v>0</v>
      </c>
      <c r="S41" s="6">
        <v>0</v>
      </c>
      <c r="T41" s="6">
        <v>0</v>
      </c>
      <c r="U41" s="6">
        <v>0</v>
      </c>
      <c r="V41" s="6">
        <v>0</v>
      </c>
      <c r="W41" s="6">
        <v>4830</v>
      </c>
      <c r="X41" s="6">
        <v>2750</v>
      </c>
      <c r="Y41" s="6">
        <v>8580</v>
      </c>
      <c r="Z41" s="6">
        <v>3840</v>
      </c>
      <c r="AA41" s="6">
        <v>0</v>
      </c>
      <c r="AB41" s="6">
        <v>0</v>
      </c>
      <c r="AC41" s="6">
        <v>0</v>
      </c>
      <c r="AD41" s="7">
        <f t="shared" si="2"/>
        <v>20000</v>
      </c>
    </row>
    <row r="42" spans="2:33" ht="14.65" thickBot="1" x14ac:dyDescent="0.5">
      <c r="B42" s="8"/>
      <c r="C42" s="9">
        <v>6300</v>
      </c>
      <c r="D42" s="9">
        <v>4880</v>
      </c>
      <c r="E42" s="9">
        <v>2130</v>
      </c>
      <c r="F42" s="9">
        <v>1210</v>
      </c>
      <c r="G42" s="9">
        <v>6120</v>
      </c>
      <c r="H42" s="9">
        <v>4830</v>
      </c>
      <c r="I42" s="9">
        <v>2750</v>
      </c>
      <c r="J42" s="9">
        <v>8580</v>
      </c>
      <c r="K42" s="9">
        <v>4460</v>
      </c>
      <c r="L42" s="9"/>
      <c r="M42" s="9"/>
      <c r="N42" s="9"/>
      <c r="O42" s="10"/>
      <c r="Q42" s="8"/>
      <c r="R42" s="9">
        <f>SUMIF(C37:C41,"&gt;0",R37:R41)</f>
        <v>6300</v>
      </c>
      <c r="S42" s="9">
        <f t="shared" ref="S42" si="3">SUMIF(D37:D41,"&gt;0",S37:S41)</f>
        <v>4880</v>
      </c>
      <c r="T42" s="9">
        <f t="shared" ref="T42" si="4">SUMIF(E37:E41,"&gt;0",T37:T41)</f>
        <v>2130</v>
      </c>
      <c r="U42" s="9">
        <f t="shared" ref="U42" si="5">SUMIF(F37:F41,"&gt;0",U37:U41)</f>
        <v>1210</v>
      </c>
      <c r="V42" s="9">
        <f t="shared" ref="V42" si="6">SUMIF(G37:G41,"&gt;0",V37:V41)</f>
        <v>6120</v>
      </c>
      <c r="W42" s="9">
        <f t="shared" ref="W42" si="7">SUMIF(H37:H41,"&gt;0",W37:W41)</f>
        <v>4830</v>
      </c>
      <c r="X42" s="9">
        <f t="shared" ref="X42" si="8">SUMIF(I37:I41,"&gt;0",X37:X41)</f>
        <v>2750</v>
      </c>
      <c r="Y42" s="9">
        <f t="shared" ref="Y42" si="9">SUMIF(J37:J41,"&gt;0",Y37:Y41)</f>
        <v>8580</v>
      </c>
      <c r="Z42" s="9">
        <f t="shared" ref="Z42" si="10">SUMIF(K37:K41,"&gt;0",Z37:Z41)</f>
        <v>4460</v>
      </c>
      <c r="AA42" s="9">
        <f t="shared" ref="AA42" si="11">SUMIF(L37:L41,"&gt;0",AA37:AA41)</f>
        <v>14520</v>
      </c>
      <c r="AB42" s="9">
        <f t="shared" ref="AB42" si="12">SUMIF(M37:M41,"&gt;0",AB37:AB41)</f>
        <v>6740</v>
      </c>
      <c r="AC42" s="9">
        <f t="shared" ref="AC42" si="13">SUMIF(N37:N41,"&gt;0",AC37:AC41)</f>
        <v>20000</v>
      </c>
      <c r="AD42" s="10"/>
    </row>
    <row r="44" spans="2:33" ht="14.65" thickBot="1" x14ac:dyDescent="0.5"/>
    <row r="45" spans="2:33" x14ac:dyDescent="0.45">
      <c r="B45" s="2" t="s">
        <v>31</v>
      </c>
      <c r="C45" s="3" t="s">
        <v>32</v>
      </c>
      <c r="D45" s="3"/>
      <c r="E45" s="3"/>
      <c r="F45" s="3"/>
      <c r="G45" s="3"/>
      <c r="H45" s="3"/>
      <c r="I45" s="3"/>
      <c r="J45" s="3"/>
      <c r="K45" s="3"/>
      <c r="L45" s="3"/>
      <c r="M45" s="3"/>
      <c r="N45" s="3"/>
      <c r="O45" s="4"/>
      <c r="Q45" s="2"/>
      <c r="R45" s="3"/>
      <c r="S45" s="3"/>
      <c r="T45" s="3"/>
      <c r="U45" s="3"/>
      <c r="V45" s="3"/>
      <c r="W45" s="3"/>
      <c r="X45" s="3"/>
      <c r="Y45" s="3"/>
      <c r="Z45" s="3"/>
      <c r="AA45" s="3"/>
      <c r="AB45" s="3"/>
      <c r="AC45" s="3"/>
      <c r="AD45" s="4"/>
    </row>
    <row r="46" spans="2:33" x14ac:dyDescent="0.45">
      <c r="B46" s="5"/>
      <c r="C46" s="6"/>
      <c r="D46" s="6"/>
      <c r="E46" s="6"/>
      <c r="F46" s="6"/>
      <c r="G46" s="6"/>
      <c r="H46" s="6"/>
      <c r="I46" s="6"/>
      <c r="J46" s="6"/>
      <c r="K46" s="6"/>
      <c r="L46" s="6"/>
      <c r="M46" s="6"/>
      <c r="N46" s="6"/>
      <c r="O46" s="7"/>
      <c r="Q46" s="5"/>
      <c r="R46" s="6"/>
      <c r="S46" s="6"/>
      <c r="T46" s="6"/>
      <c r="U46" s="6"/>
      <c r="V46" s="6"/>
      <c r="W46" s="6"/>
      <c r="X46" s="6"/>
      <c r="Y46" s="6"/>
      <c r="Z46" s="6"/>
      <c r="AA46" s="6"/>
      <c r="AB46" s="6"/>
      <c r="AC46" s="6"/>
      <c r="AD46" s="7"/>
    </row>
    <row r="47" spans="2:33" x14ac:dyDescent="0.45">
      <c r="B47" s="5"/>
      <c r="C47" s="6" t="s">
        <v>10</v>
      </c>
      <c r="D47" s="6" t="s">
        <v>11</v>
      </c>
      <c r="E47" s="6" t="s">
        <v>12</v>
      </c>
      <c r="F47" s="6" t="s">
        <v>13</v>
      </c>
      <c r="G47" s="6" t="s">
        <v>14</v>
      </c>
      <c r="H47" s="6" t="s">
        <v>15</v>
      </c>
      <c r="I47" s="6" t="s">
        <v>16</v>
      </c>
      <c r="J47" s="6" t="s">
        <v>17</v>
      </c>
      <c r="K47" s="6" t="s">
        <v>18</v>
      </c>
      <c r="L47" s="6" t="s">
        <v>4</v>
      </c>
      <c r="M47" s="6" t="s">
        <v>5</v>
      </c>
      <c r="N47" s="6" t="s">
        <v>6</v>
      </c>
      <c r="O47" s="7"/>
      <c r="Q47" s="5"/>
      <c r="R47" s="6" t="s">
        <v>10</v>
      </c>
      <c r="S47" s="6" t="s">
        <v>11</v>
      </c>
      <c r="T47" s="6" t="s">
        <v>12</v>
      </c>
      <c r="U47" s="6" t="s">
        <v>13</v>
      </c>
      <c r="V47" s="6" t="s">
        <v>14</v>
      </c>
      <c r="W47" s="6" t="s">
        <v>15</v>
      </c>
      <c r="X47" s="6" t="s">
        <v>16</v>
      </c>
      <c r="Y47" s="6" t="s">
        <v>17</v>
      </c>
      <c r="Z47" s="6" t="s">
        <v>18</v>
      </c>
      <c r="AA47" s="6" t="s">
        <v>4</v>
      </c>
      <c r="AB47" s="6" t="s">
        <v>5</v>
      </c>
      <c r="AC47" s="6" t="s">
        <v>6</v>
      </c>
      <c r="AD47" s="7"/>
      <c r="AF47" s="1" t="s">
        <v>30</v>
      </c>
      <c r="AG47" s="1">
        <f>SUMPRODUCT(C48:N52,R48:AC52)+ (B6*AD48)+(C6*AD49)</f>
        <v>553534</v>
      </c>
    </row>
    <row r="48" spans="2:33" x14ac:dyDescent="0.45">
      <c r="B48" s="5" t="s">
        <v>1</v>
      </c>
      <c r="C48" s="6"/>
      <c r="D48" s="6">
        <v>3.5</v>
      </c>
      <c r="E48" s="6"/>
      <c r="F48" s="6"/>
      <c r="G48" s="6"/>
      <c r="H48" s="6"/>
      <c r="I48" s="6"/>
      <c r="J48" s="6"/>
      <c r="K48" s="6"/>
      <c r="L48" s="6">
        <v>3.2</v>
      </c>
      <c r="M48" s="6">
        <v>2.2000000000000002</v>
      </c>
      <c r="N48" s="6">
        <v>4.2</v>
      </c>
      <c r="O48" s="7">
        <v>30000</v>
      </c>
      <c r="Q48" s="5" t="s">
        <v>1</v>
      </c>
      <c r="R48" s="6">
        <v>0</v>
      </c>
      <c r="S48" s="6">
        <v>4880</v>
      </c>
      <c r="T48" s="6">
        <v>0</v>
      </c>
      <c r="U48" s="6">
        <v>0</v>
      </c>
      <c r="V48" s="6">
        <v>0</v>
      </c>
      <c r="W48" s="6">
        <v>0</v>
      </c>
      <c r="X48" s="6">
        <v>0</v>
      </c>
      <c r="Y48" s="6">
        <v>0</v>
      </c>
      <c r="Z48" s="6">
        <v>0</v>
      </c>
      <c r="AA48" s="6">
        <v>9640</v>
      </c>
      <c r="AB48" s="6">
        <v>6740</v>
      </c>
      <c r="AC48" s="6">
        <v>0</v>
      </c>
      <c r="AD48" s="7">
        <f>SUMIF(C48:N48,"&gt;0",R48:AC48)</f>
        <v>21260</v>
      </c>
    </row>
    <row r="49" spans="2:30" x14ac:dyDescent="0.45">
      <c r="B49" s="5" t="s">
        <v>29</v>
      </c>
      <c r="C49" s="6"/>
      <c r="D49" s="6"/>
      <c r="E49" s="6"/>
      <c r="F49" s="6"/>
      <c r="G49" s="6"/>
      <c r="H49" s="6"/>
      <c r="I49" s="6"/>
      <c r="J49" s="6">
        <v>0.3</v>
      </c>
      <c r="K49" s="6">
        <v>0.7</v>
      </c>
      <c r="L49" s="6" t="s">
        <v>8</v>
      </c>
      <c r="M49" s="6">
        <v>3.9</v>
      </c>
      <c r="N49" s="6">
        <v>1.2</v>
      </c>
      <c r="O49" s="7">
        <v>20000</v>
      </c>
      <c r="Q49" s="5" t="s">
        <v>29</v>
      </c>
      <c r="R49" s="6">
        <v>0</v>
      </c>
      <c r="S49" s="6">
        <v>0</v>
      </c>
      <c r="T49" s="6">
        <v>0</v>
      </c>
      <c r="U49" s="6">
        <v>0</v>
      </c>
      <c r="V49" s="6">
        <v>0</v>
      </c>
      <c r="W49" s="6">
        <v>0</v>
      </c>
      <c r="X49" s="6">
        <v>0</v>
      </c>
      <c r="Y49" s="6">
        <v>8580</v>
      </c>
      <c r="Z49" s="6">
        <v>4460</v>
      </c>
      <c r="AA49" s="6">
        <v>0</v>
      </c>
      <c r="AB49" s="6">
        <v>0</v>
      </c>
      <c r="AC49" s="6">
        <v>6960</v>
      </c>
      <c r="AD49" s="7">
        <f t="shared" ref="AD49:AD52" si="14">SUMIF(C49:N49,"&gt;0",R49:AC49)</f>
        <v>20000</v>
      </c>
    </row>
    <row r="50" spans="2:30" x14ac:dyDescent="0.45">
      <c r="B50" s="5" t="s">
        <v>4</v>
      </c>
      <c r="C50" s="6">
        <v>0.3</v>
      </c>
      <c r="D50" s="6">
        <v>2.1</v>
      </c>
      <c r="E50" s="6">
        <v>3.1</v>
      </c>
      <c r="F50" s="6">
        <v>4.4000000000000004</v>
      </c>
      <c r="G50" s="6">
        <v>6</v>
      </c>
      <c r="H50" s="6" t="s">
        <v>8</v>
      </c>
      <c r="I50" s="6" t="s">
        <v>8</v>
      </c>
      <c r="J50" s="6" t="s">
        <v>8</v>
      </c>
      <c r="K50" s="6" t="s">
        <v>8</v>
      </c>
      <c r="L50" s="6"/>
      <c r="M50" s="6"/>
      <c r="N50" s="6"/>
      <c r="O50" s="7"/>
      <c r="Q50" s="5" t="s">
        <v>4</v>
      </c>
      <c r="R50" s="6">
        <v>6300</v>
      </c>
      <c r="S50" s="6">
        <v>0</v>
      </c>
      <c r="T50" s="6">
        <v>2130</v>
      </c>
      <c r="U50" s="6">
        <v>1210</v>
      </c>
      <c r="V50" s="6">
        <v>0</v>
      </c>
      <c r="W50" s="6">
        <v>0</v>
      </c>
      <c r="X50" s="6">
        <v>0</v>
      </c>
      <c r="Y50" s="6">
        <v>0</v>
      </c>
      <c r="Z50" s="6">
        <v>0</v>
      </c>
      <c r="AA50" s="6">
        <v>0</v>
      </c>
      <c r="AB50" s="6">
        <v>0</v>
      </c>
      <c r="AC50" s="6">
        <v>0</v>
      </c>
      <c r="AD50" s="7">
        <f t="shared" si="14"/>
        <v>9640</v>
      </c>
    </row>
    <row r="51" spans="2:30" x14ac:dyDescent="0.45">
      <c r="B51" s="5" t="s">
        <v>5</v>
      </c>
      <c r="C51" s="6">
        <v>5.2</v>
      </c>
      <c r="D51" s="6">
        <v>5.4</v>
      </c>
      <c r="E51" s="6">
        <v>4.5</v>
      </c>
      <c r="F51" s="6">
        <v>6</v>
      </c>
      <c r="G51" s="6">
        <v>2.7</v>
      </c>
      <c r="H51" s="6">
        <v>4.7</v>
      </c>
      <c r="I51" s="6">
        <v>3.4</v>
      </c>
      <c r="J51" s="6">
        <v>3.3</v>
      </c>
      <c r="K51" s="6">
        <v>2.7</v>
      </c>
      <c r="L51" s="6"/>
      <c r="M51" s="6"/>
      <c r="N51" s="6"/>
      <c r="O51" s="7"/>
      <c r="Q51" s="5" t="s">
        <v>5</v>
      </c>
      <c r="R51" s="6">
        <v>0</v>
      </c>
      <c r="S51" s="6">
        <v>0</v>
      </c>
      <c r="T51" s="6">
        <v>0</v>
      </c>
      <c r="U51" s="6">
        <v>0</v>
      </c>
      <c r="V51" s="6">
        <v>6120</v>
      </c>
      <c r="W51" s="6">
        <v>0</v>
      </c>
      <c r="X51" s="6">
        <v>620</v>
      </c>
      <c r="Y51" s="6">
        <v>0</v>
      </c>
      <c r="Z51" s="6">
        <v>0</v>
      </c>
      <c r="AA51" s="6">
        <v>0</v>
      </c>
      <c r="AB51" s="6">
        <v>0</v>
      </c>
      <c r="AC51" s="6">
        <v>0</v>
      </c>
      <c r="AD51" s="7">
        <f t="shared" si="14"/>
        <v>6740</v>
      </c>
    </row>
    <row r="52" spans="2:30" x14ac:dyDescent="0.45">
      <c r="B52" s="5" t="s">
        <v>6</v>
      </c>
      <c r="C52" s="6" t="s">
        <v>8</v>
      </c>
      <c r="D52" s="6" t="s">
        <v>8</v>
      </c>
      <c r="E52" s="6" t="s">
        <v>8</v>
      </c>
      <c r="F52" s="6" t="s">
        <v>8</v>
      </c>
      <c r="G52" s="6">
        <v>5.4</v>
      </c>
      <c r="H52" s="6">
        <v>3.3</v>
      </c>
      <c r="I52" s="6">
        <v>2.4</v>
      </c>
      <c r="J52" s="6">
        <v>2.1</v>
      </c>
      <c r="K52" s="6">
        <v>2.5</v>
      </c>
      <c r="L52" s="6"/>
      <c r="M52" s="6"/>
      <c r="N52" s="6"/>
      <c r="O52" s="7"/>
      <c r="Q52" s="5" t="s">
        <v>6</v>
      </c>
      <c r="R52" s="6">
        <v>0</v>
      </c>
      <c r="S52" s="6">
        <v>0</v>
      </c>
      <c r="T52" s="6">
        <v>0</v>
      </c>
      <c r="U52" s="6">
        <v>0</v>
      </c>
      <c r="V52" s="6">
        <v>0</v>
      </c>
      <c r="W52" s="6">
        <v>4830</v>
      </c>
      <c r="X52" s="6">
        <v>2130</v>
      </c>
      <c r="Y52" s="6">
        <v>0</v>
      </c>
      <c r="Z52" s="6">
        <v>0</v>
      </c>
      <c r="AA52" s="6">
        <v>0</v>
      </c>
      <c r="AB52" s="6">
        <v>0</v>
      </c>
      <c r="AC52" s="6">
        <v>0</v>
      </c>
      <c r="AD52" s="7">
        <f t="shared" si="14"/>
        <v>6960</v>
      </c>
    </row>
    <row r="53" spans="2:30" ht="14.65" thickBot="1" x14ac:dyDescent="0.5">
      <c r="B53" s="8"/>
      <c r="C53" s="9">
        <v>6300</v>
      </c>
      <c r="D53" s="9">
        <v>4880</v>
      </c>
      <c r="E53" s="9">
        <v>2130</v>
      </c>
      <c r="F53" s="9">
        <v>1210</v>
      </c>
      <c r="G53" s="9">
        <v>6120</v>
      </c>
      <c r="H53" s="9">
        <v>4830</v>
      </c>
      <c r="I53" s="9">
        <v>2750</v>
      </c>
      <c r="J53" s="9">
        <v>8580</v>
      </c>
      <c r="K53" s="9">
        <v>4460</v>
      </c>
      <c r="L53" s="9"/>
      <c r="M53" s="9"/>
      <c r="N53" s="9"/>
      <c r="O53" s="10"/>
      <c r="Q53" s="8"/>
      <c r="R53" s="9">
        <f>SUMIF(C48:C52,"&gt;0",R48:R52)</f>
        <v>6300</v>
      </c>
      <c r="S53" s="9">
        <f t="shared" ref="S53:AC53" si="15">SUMIF(D48:D52,"&gt;0",S48:S52)</f>
        <v>4880</v>
      </c>
      <c r="T53" s="9">
        <f t="shared" si="15"/>
        <v>2130</v>
      </c>
      <c r="U53" s="9">
        <f t="shared" si="15"/>
        <v>1210</v>
      </c>
      <c r="V53" s="9">
        <f t="shared" si="15"/>
        <v>6120</v>
      </c>
      <c r="W53" s="9">
        <f t="shared" si="15"/>
        <v>4830</v>
      </c>
      <c r="X53" s="9">
        <f t="shared" si="15"/>
        <v>2750</v>
      </c>
      <c r="Y53" s="9">
        <f t="shared" si="15"/>
        <v>8580</v>
      </c>
      <c r="Z53" s="9">
        <f t="shared" si="15"/>
        <v>4460</v>
      </c>
      <c r="AA53" s="9">
        <f t="shared" si="15"/>
        <v>9640</v>
      </c>
      <c r="AB53" s="9">
        <f t="shared" si="15"/>
        <v>6740</v>
      </c>
      <c r="AC53" s="9">
        <f t="shared" si="15"/>
        <v>6960</v>
      </c>
      <c r="AD53" s="10"/>
    </row>
    <row r="57" spans="2:30" x14ac:dyDescent="0.45">
      <c r="B57" t="s">
        <v>33</v>
      </c>
    </row>
    <row r="58" spans="2:30" x14ac:dyDescent="0.45">
      <c r="B58" s="24" t="s">
        <v>34</v>
      </c>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row>
    <row r="59" spans="2:30" x14ac:dyDescent="0.45">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row>
    <row r="60" spans="2:30" x14ac:dyDescent="0.45">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row>
    <row r="61" spans="2:30" x14ac:dyDescent="0.45">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row>
    <row r="62" spans="2:30" x14ac:dyDescent="0.45">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row>
    <row r="63" spans="2:30" x14ac:dyDescent="0.45">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row>
    <row r="64" spans="2:30" x14ac:dyDescent="0.45">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row>
    <row r="65" spans="2:30" x14ac:dyDescent="0.45">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row>
    <row r="66" spans="2:30" x14ac:dyDescent="0.45">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row>
    <row r="67" spans="2:30" x14ac:dyDescent="0.45">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row>
  </sheetData>
  <mergeCells count="1">
    <mergeCell ref="B58:AD6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Answer Report 1</vt:lpstr>
      <vt:lpstr>Sensitivity Report 1</vt:lpstr>
      <vt:lpstr>Limits Report 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KISHORE KUNAL</dc:creator>
  <cp:lastModifiedBy>KISHORE KUNAL</cp:lastModifiedBy>
  <dcterms:created xsi:type="dcterms:W3CDTF">2026-01-28T16:57:20Z</dcterms:created>
  <dcterms:modified xsi:type="dcterms:W3CDTF">2026-01-28T18:57:01Z</dcterms:modified>
</cp:coreProperties>
</file>