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f31d95b556acc0c/Desktop/PGDM_BM/Term 2/Decision Science/"/>
    </mc:Choice>
  </mc:AlternateContent>
  <xr:revisionPtr revIDLastSave="3433" documentId="8_{C27A0BBC-D16D-4EB3-BA29-57A4B81962D4}" xr6:coauthVersionLast="47" xr6:coauthVersionMax="47" xr10:uidLastSave="{575292F6-4122-45AA-9639-D66C3B3345EF}"/>
  <bookViews>
    <workbookView xWindow="-98" yWindow="-98" windowWidth="21795" windowHeight="12975" firstSheet="1" activeTab="12" xr2:uid="{D767A209-40F1-4493-8C0A-F2F8B90D8D6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definedNames>
    <definedName name="solver_adj" localSheetId="0" hidden="1">Sheet1!$B$11:$E$13</definedName>
    <definedName name="solver_adj" localSheetId="10" hidden="1">Sheet11!$B$8:$E$11</definedName>
    <definedName name="solver_adj" localSheetId="11" hidden="1">Sheet12!$J$16:$S$24</definedName>
    <definedName name="solver_adj" localSheetId="12" hidden="1">Sheet13!$B$12:$E$16</definedName>
    <definedName name="solver_adj" localSheetId="1" hidden="1">Sheet2!$B$9:$D$11</definedName>
    <definedName name="solver_adj" localSheetId="2" hidden="1">Sheet3!$B$15:$E$18</definedName>
    <definedName name="solver_adj" localSheetId="3" hidden="1">Sheet4!$B$16:$F$20</definedName>
    <definedName name="solver_adj" localSheetId="4" hidden="1">Sheet5!$B$16:$G$20</definedName>
    <definedName name="solver_adj" localSheetId="5" hidden="1">Sheet6!$B$10:$N$10</definedName>
    <definedName name="solver_adj" localSheetId="6" hidden="1">Sheet7!$B$14:$H$19</definedName>
    <definedName name="solver_adj" localSheetId="7" hidden="1">Sheet8!$B$13:$H$13</definedName>
    <definedName name="solver_adj" localSheetId="8" hidden="1">Sheet9!$B$9:$I$9</definedName>
    <definedName name="solver_cvg" localSheetId="0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drv" localSheetId="0" hidden="1">1</definedName>
    <definedName name="solver_drv" localSheetId="10" hidden="1">2</definedName>
    <definedName name="solver_drv" localSheetId="11" hidden="1">1</definedName>
    <definedName name="solver_drv" localSheetId="12" hidden="1">1</definedName>
    <definedName name="solver_drv" localSheetId="1" hidden="1">2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2</definedName>
    <definedName name="solver_drv" localSheetId="8" hidden="1">1</definedName>
    <definedName name="solver_eng" localSheetId="0" hidden="1">2</definedName>
    <definedName name="solver_eng" localSheetId="10" hidden="1">2</definedName>
    <definedName name="solver_eng" localSheetId="11" hidden="1">2</definedName>
    <definedName name="solver_eng" localSheetId="12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st" localSheetId="0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itr" localSheetId="0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lhs1" localSheetId="0" hidden="1">Sheet1!$B$14:$E$14</definedName>
    <definedName name="solver_lhs1" localSheetId="10" hidden="1">Sheet11!$B$13:$E$13</definedName>
    <definedName name="solver_lhs1" localSheetId="11" hidden="1">Sheet12!$J$16:$S$24</definedName>
    <definedName name="solver_lhs1" localSheetId="12" hidden="1">Sheet13!$B$12:$B$16</definedName>
    <definedName name="solver_lhs1" localSheetId="1" hidden="1">Sheet2!$B$12:$D$12</definedName>
    <definedName name="solver_lhs1" localSheetId="2" hidden="1">Sheet3!$B$19:$C$19</definedName>
    <definedName name="solver_lhs1" localSheetId="3" hidden="1">Sheet4!$B$16:$F$19</definedName>
    <definedName name="solver_lhs1" localSheetId="4" hidden="1">Sheet5!$B$16:$G$20</definedName>
    <definedName name="solver_lhs1" localSheetId="5" hidden="1">Sheet6!$B$10:$D$10</definedName>
    <definedName name="solver_lhs1" localSheetId="6" hidden="1">Sheet7!$B$14:$H$19</definedName>
    <definedName name="solver_lhs1" localSheetId="7" hidden="1">Sheet8!$B$13:$H$13</definedName>
    <definedName name="solver_lhs1" localSheetId="8" hidden="1">Sheet9!$J$4:$J$6</definedName>
    <definedName name="solver_lhs2" localSheetId="0" hidden="1">Sheet1!$G$11:$G$13</definedName>
    <definedName name="solver_lhs2" localSheetId="10" hidden="1">Sheet11!$B$8:$E$11</definedName>
    <definedName name="solver_lhs2" localSheetId="11" hidden="1">Sheet12!$K$25:$R$25</definedName>
    <definedName name="solver_lhs2" localSheetId="12" hidden="1">Sheet13!$C$17:$E$17</definedName>
    <definedName name="solver_lhs2" localSheetId="1" hidden="1">Sheet2!$B$9:$D$11</definedName>
    <definedName name="solver_lhs2" localSheetId="2" hidden="1">Sheet3!$D$19:$E$19</definedName>
    <definedName name="solver_lhs2" localSheetId="3" hidden="1">Sheet4!$C$21:$E$21</definedName>
    <definedName name="solver_lhs2" localSheetId="4" hidden="1">Sheet5!$C$21:$F$21</definedName>
    <definedName name="solver_lhs2" localSheetId="5" hidden="1">Sheet6!$O$3:$O$6</definedName>
    <definedName name="solver_lhs2" localSheetId="6" hidden="1">Sheet7!$C$21:$G$21</definedName>
    <definedName name="solver_lhs2" localSheetId="7" hidden="1">Sheet8!$B$14:$D$14</definedName>
    <definedName name="solver_lhs3" localSheetId="10" hidden="1">Sheet11!$F$8:$F$11</definedName>
    <definedName name="solver_lhs3" localSheetId="11" hidden="1">Sheet12!$S$25</definedName>
    <definedName name="solver_lhs3" localSheetId="12" hidden="1">Sheet13!$F$12:$F$16</definedName>
    <definedName name="solver_lhs3" localSheetId="1" hidden="1">Sheet2!$E$9:$E$11</definedName>
    <definedName name="solver_lhs3" localSheetId="2" hidden="1">Sheet3!$F$15:$F$16</definedName>
    <definedName name="solver_lhs3" localSheetId="3" hidden="1">Sheet4!$G$16</definedName>
    <definedName name="solver_lhs3" localSheetId="4" hidden="1">Sheet5!$G$21</definedName>
    <definedName name="solver_lhs3" localSheetId="5" hidden="1">Sheet6!$O$7</definedName>
    <definedName name="solver_lhs4" localSheetId="12" hidden="1">Sheet13!$I$13</definedName>
    <definedName name="solver_lhs4" localSheetId="4" hidden="1">Sheet5!$H$16</definedName>
    <definedName name="solver_lhs5" localSheetId="4" hidden="1">Sheet5!$G$21</definedName>
    <definedName name="solver_mip" localSheetId="0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ni" localSheetId="0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rt" localSheetId="0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sl" localSheetId="0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neg" localSheetId="0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od" localSheetId="0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um" localSheetId="0" hidden="1">2</definedName>
    <definedName name="solver_num" localSheetId="10" hidden="1">3</definedName>
    <definedName name="solver_num" localSheetId="11" hidden="1">3</definedName>
    <definedName name="solver_num" localSheetId="12" hidden="1">4</definedName>
    <definedName name="solver_num" localSheetId="1" hidden="1">3</definedName>
    <definedName name="solver_num" localSheetId="2" hidden="1">3</definedName>
    <definedName name="solver_num" localSheetId="3" hidden="1">2</definedName>
    <definedName name="solver_num" localSheetId="4" hidden="1">4</definedName>
    <definedName name="solver_num" localSheetId="5" hidden="1">3</definedName>
    <definedName name="solver_num" localSheetId="6" hidden="1">2</definedName>
    <definedName name="solver_num" localSheetId="7" hidden="1">2</definedName>
    <definedName name="solver_num" localSheetId="8" hidden="1">1</definedName>
    <definedName name="solver_nwt" localSheetId="0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opt" localSheetId="0" hidden="1">Sheet1!$F$16</definedName>
    <definedName name="solver_opt" localSheetId="10" hidden="1">Sheet11!$F$13</definedName>
    <definedName name="solver_opt" localSheetId="11" hidden="1">Sheet12!$S$25</definedName>
    <definedName name="solver_opt" localSheetId="12" hidden="1">Sheet13!$F$17</definedName>
    <definedName name="solver_opt" localSheetId="1" hidden="1">Sheet2!$E$14</definedName>
    <definedName name="solver_opt" localSheetId="2" hidden="1">Sheet3!$F$21</definedName>
    <definedName name="solver_opt" localSheetId="3" hidden="1">Sheet4!$F$21</definedName>
    <definedName name="solver_opt" localSheetId="4" hidden="1">Sheet5!$H$21</definedName>
    <definedName name="solver_opt" localSheetId="5" hidden="1">Sheet6!$Q$10</definedName>
    <definedName name="solver_opt" localSheetId="6" hidden="1">Sheet7!$H$21</definedName>
    <definedName name="solver_opt" localSheetId="7" hidden="1">Sheet8!$B$14</definedName>
    <definedName name="solver_opt" localSheetId="8" hidden="1">Sheet9!$L$9</definedName>
    <definedName name="solver_pre" localSheetId="0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rbv" localSheetId="0" hidden="1">1</definedName>
    <definedName name="solver_rbv" localSheetId="10" hidden="1">2</definedName>
    <definedName name="solver_rbv" localSheetId="11" hidden="1">1</definedName>
    <definedName name="solver_rbv" localSheetId="12" hidden="1">1</definedName>
    <definedName name="solver_rbv" localSheetId="1" hidden="1">2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2</definedName>
    <definedName name="solver_rbv" localSheetId="8" hidden="1">1</definedName>
    <definedName name="solver_rel1" localSheetId="0" hidden="1">2</definedName>
    <definedName name="solver_rel1" localSheetId="10" hidden="1">2</definedName>
    <definedName name="solver_rel1" localSheetId="11" hidden="1">1</definedName>
    <definedName name="solver_rel1" localSheetId="12" hidden="1">5</definedName>
    <definedName name="solver_rel1" localSheetId="1" hidden="1">2</definedName>
    <definedName name="solver_rel1" localSheetId="2" hidden="1">2</definedName>
    <definedName name="solver_rel1" localSheetId="3" hidden="1">1</definedName>
    <definedName name="solver_rel1" localSheetId="4" hidden="1">5</definedName>
    <definedName name="solver_rel1" localSheetId="5" hidden="1">4</definedName>
    <definedName name="solver_rel1" localSheetId="6" hidden="1">1</definedName>
    <definedName name="solver_rel1" localSheetId="7" hidden="1">5</definedName>
    <definedName name="solver_rel1" localSheetId="8" hidden="1">2</definedName>
    <definedName name="solver_rel2" localSheetId="0" hidden="1">1</definedName>
    <definedName name="solver_rel2" localSheetId="10" hidden="1">5</definedName>
    <definedName name="solver_rel2" localSheetId="11" hidden="1">2</definedName>
    <definedName name="solver_rel2" localSheetId="12" hidden="1">2</definedName>
    <definedName name="solver_rel2" localSheetId="1" hidden="1">5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el2" localSheetId="5" hidden="1">2</definedName>
    <definedName name="solver_rel2" localSheetId="6" hidden="1">2</definedName>
    <definedName name="solver_rel2" localSheetId="7" hidden="1">2</definedName>
    <definedName name="solver_rel3" localSheetId="10" hidden="1">2</definedName>
    <definedName name="solver_rel3" localSheetId="11" hidden="1">1</definedName>
    <definedName name="solver_rel3" localSheetId="12" hidden="1">1</definedName>
    <definedName name="solver_rel3" localSheetId="1" hidden="1">2</definedName>
    <definedName name="solver_rel3" localSheetId="2" hidden="1">1</definedName>
    <definedName name="solver_rel3" localSheetId="3" hidden="1">2</definedName>
    <definedName name="solver_rel3" localSheetId="4" hidden="1">2</definedName>
    <definedName name="solver_rel3" localSheetId="5" hidden="1">1</definedName>
    <definedName name="solver_rel4" localSheetId="12" hidden="1">2</definedName>
    <definedName name="solver_rel4" localSheetId="4" hidden="1">2</definedName>
    <definedName name="solver_rel5" localSheetId="4" hidden="1">2</definedName>
    <definedName name="solver_rhs1" localSheetId="0" hidden="1">Sheet1!$B$7:$E$7</definedName>
    <definedName name="solver_rhs1" localSheetId="10" hidden="1">Sheet11!$H$8:$H$11</definedName>
    <definedName name="solver_rhs1" localSheetId="11" hidden="1">Sheet12!$J$4:$S$12</definedName>
    <definedName name="solver_rhs1" localSheetId="12" hidden="1">"binary"</definedName>
    <definedName name="solver_rhs1" localSheetId="1" hidden="1">Sheet2!$B$19:$D$19</definedName>
    <definedName name="solver_rhs1" localSheetId="2" hidden="1">Sheet3!$F$17:$F$18</definedName>
    <definedName name="solver_rhs1" localSheetId="3" hidden="1">Sheet4!$B$7:$F$10</definedName>
    <definedName name="solver_rhs1" localSheetId="4" hidden="1">"binary"</definedName>
    <definedName name="solver_rhs1" localSheetId="5" hidden="1">"integer"</definedName>
    <definedName name="solver_rhs1" localSheetId="6" hidden="1">Sheet7!$B$4:$H$9</definedName>
    <definedName name="solver_rhs1" localSheetId="7" hidden="1">"binary"</definedName>
    <definedName name="solver_rhs1" localSheetId="8" hidden="1">Sheet9!$L$4:$L$6</definedName>
    <definedName name="solver_rhs2" localSheetId="0" hidden="1">Sheet1!$G$3:$G$5</definedName>
    <definedName name="solver_rhs2" localSheetId="10" hidden="1">"binary"</definedName>
    <definedName name="solver_rhs2" localSheetId="11" hidden="1">Sheet12!$T$17:$T$24</definedName>
    <definedName name="solver_rhs2" localSheetId="12" hidden="1">Sheet13!$C$7:$E$7</definedName>
    <definedName name="solver_rhs2" localSheetId="1" hidden="1">"binary"</definedName>
    <definedName name="solver_rhs2" localSheetId="2" hidden="1">Sheet3!$D$11:$E$11</definedName>
    <definedName name="solver_rhs2" localSheetId="3" hidden="1">Sheet4!$G$17:$G$19</definedName>
    <definedName name="solver_rhs2" localSheetId="4" hidden="1">Sheet5!$H$17:$H$20</definedName>
    <definedName name="solver_rhs2" localSheetId="5" hidden="1">Sheet6!$Q$3:$Q$6</definedName>
    <definedName name="solver_rhs2" localSheetId="6" hidden="1">Sheet7!$I$15:$I$19</definedName>
    <definedName name="solver_rhs2" localSheetId="7" hidden="1">Sheet8!$J$14:$L$14</definedName>
    <definedName name="solver_rhs3" localSheetId="10" hidden="1">Sheet11!$H$8:$H$11</definedName>
    <definedName name="solver_rhs3" localSheetId="11" hidden="1">Sheet12!$T$16</definedName>
    <definedName name="solver_rhs3" localSheetId="12" hidden="1">Sheet13!$G$12:$G$16</definedName>
    <definedName name="solver_rhs3" localSheetId="1" hidden="1">Sheet2!$B$19:$D$19</definedName>
    <definedName name="solver_rhs3" localSheetId="2" hidden="1">Sheet3!$F$7:$F$8</definedName>
    <definedName name="solver_rhs3" localSheetId="3" hidden="1">Sheet4!$G$7</definedName>
    <definedName name="solver_rhs3" localSheetId="4" hidden="1">Sheet5!$C$25</definedName>
    <definedName name="solver_rhs3" localSheetId="5" hidden="1">Sheet6!$Q$7</definedName>
    <definedName name="solver_rhs4" localSheetId="12" hidden="1">Sheet13!$J$13</definedName>
    <definedName name="solver_rhs4" localSheetId="4" hidden="1">Sheet5!$C$25</definedName>
    <definedName name="solver_rhs5" localSheetId="4" hidden="1">Sheet5!$C$25</definedName>
    <definedName name="solver_rlx" localSheetId="0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sd" localSheetId="0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scl" localSheetId="0" hidden="1">1</definedName>
    <definedName name="solver_scl" localSheetId="10" hidden="1">2</definedName>
    <definedName name="solver_scl" localSheetId="11" hidden="1">1</definedName>
    <definedName name="solver_scl" localSheetId="12" hidden="1">1</definedName>
    <definedName name="solver_scl" localSheetId="1" hidden="1">2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2</definedName>
    <definedName name="solver_scl" localSheetId="8" hidden="1">1</definedName>
    <definedName name="solver_sho" localSheetId="0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sz" localSheetId="0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tim" localSheetId="0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ol" localSheetId="0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yp" localSheetId="0" hidden="1">2</definedName>
    <definedName name="solver_typ" localSheetId="10" hidden="1">2</definedName>
    <definedName name="solver_typ" localSheetId="11" hidden="1">1</definedName>
    <definedName name="solver_typ" localSheetId="12" hidden="1">2</definedName>
    <definedName name="solver_typ" localSheetId="1" hidden="1">2</definedName>
    <definedName name="solver_typ" localSheetId="2" hidden="1">2</definedName>
    <definedName name="solver_typ" localSheetId="3" hidden="1">1</definedName>
    <definedName name="solver_typ" localSheetId="4" hidden="1">2</definedName>
    <definedName name="solver_typ" localSheetId="5" hidden="1">2</definedName>
    <definedName name="solver_typ" localSheetId="6" hidden="1">1</definedName>
    <definedName name="solver_typ" localSheetId="7" hidden="1">1</definedName>
    <definedName name="solver_typ" localSheetId="8" hidden="1">2</definedName>
    <definedName name="solver_val" localSheetId="0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0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3" l="1"/>
  <c r="G14" i="13"/>
  <c r="G15" i="13"/>
  <c r="G16" i="13"/>
  <c r="G12" i="13"/>
  <c r="F17" i="13"/>
  <c r="F13" i="13"/>
  <c r="F14" i="13"/>
  <c r="F15" i="13"/>
  <c r="F16" i="13"/>
  <c r="F12" i="13"/>
  <c r="D17" i="13"/>
  <c r="E17" i="13"/>
  <c r="C17" i="13"/>
  <c r="S25" i="12"/>
  <c r="K25" i="12"/>
  <c r="L25" i="12"/>
  <c r="M25" i="12"/>
  <c r="N25" i="12"/>
  <c r="O25" i="12"/>
  <c r="P25" i="12"/>
  <c r="Q25" i="12"/>
  <c r="R25" i="12"/>
  <c r="J25" i="12"/>
  <c r="T17" i="12"/>
  <c r="T18" i="12"/>
  <c r="T19" i="12"/>
  <c r="T20" i="12"/>
  <c r="T21" i="12"/>
  <c r="T22" i="12"/>
  <c r="T23" i="12"/>
  <c r="T24" i="12"/>
  <c r="T16" i="12"/>
  <c r="F13" i="11"/>
  <c r="C13" i="11"/>
  <c r="D13" i="11"/>
  <c r="E13" i="11"/>
  <c r="B13" i="11"/>
  <c r="F9" i="11"/>
  <c r="F10" i="11"/>
  <c r="F11" i="11"/>
  <c r="F8" i="11"/>
  <c r="I18" i="10"/>
  <c r="I19" i="10"/>
  <c r="I20" i="10"/>
  <c r="I21" i="10"/>
  <c r="I17" i="10"/>
  <c r="D18" i="10"/>
  <c r="E18" i="10"/>
  <c r="F18" i="10"/>
  <c r="G18" i="10"/>
  <c r="D19" i="10"/>
  <c r="E19" i="10"/>
  <c r="F19" i="10"/>
  <c r="G19" i="10"/>
  <c r="D20" i="10"/>
  <c r="E20" i="10"/>
  <c r="F20" i="10"/>
  <c r="G20" i="10"/>
  <c r="D21" i="10"/>
  <c r="E21" i="10"/>
  <c r="F21" i="10"/>
  <c r="G21" i="10"/>
  <c r="E17" i="10"/>
  <c r="F17" i="10"/>
  <c r="G17" i="10"/>
  <c r="D17" i="10"/>
  <c r="C18" i="10"/>
  <c r="C19" i="10"/>
  <c r="C20" i="10"/>
  <c r="C21" i="10"/>
  <c r="C17" i="10"/>
  <c r="J11" i="10"/>
  <c r="I11" i="10"/>
  <c r="J7" i="10"/>
  <c r="J8" i="10"/>
  <c r="J9" i="10"/>
  <c r="J10" i="10"/>
  <c r="J6" i="10"/>
  <c r="I7" i="10"/>
  <c r="I8" i="10"/>
  <c r="I9" i="10"/>
  <c r="I10" i="10"/>
  <c r="I6" i="10"/>
  <c r="L9" i="9"/>
  <c r="J5" i="9"/>
  <c r="J6" i="9"/>
  <c r="J4" i="9"/>
  <c r="I13" i="13" l="1"/>
  <c r="J13" i="13"/>
  <c r="C18" i="8"/>
  <c r="C19" i="8"/>
  <c r="C20" i="8"/>
  <c r="C21" i="8"/>
  <c r="C22" i="8"/>
  <c r="C23" i="8"/>
  <c r="C17" i="8"/>
  <c r="D14" i="8"/>
  <c r="C14" i="8"/>
  <c r="B14" i="8"/>
  <c r="E18" i="8"/>
  <c r="E19" i="8"/>
  <c r="E20" i="8"/>
  <c r="E21" i="8"/>
  <c r="E22" i="8"/>
  <c r="E23" i="8"/>
  <c r="E17" i="8"/>
  <c r="D21" i="7"/>
  <c r="E21" i="7"/>
  <c r="F21" i="7"/>
  <c r="G21" i="7"/>
  <c r="H21" i="7"/>
  <c r="C21" i="7"/>
  <c r="B21" i="7"/>
  <c r="I20" i="7"/>
  <c r="I15" i="7"/>
  <c r="I16" i="7"/>
  <c r="I17" i="7"/>
  <c r="I18" i="7"/>
  <c r="I19" i="7"/>
  <c r="I14" i="7"/>
  <c r="C14" i="6"/>
  <c r="B14" i="6"/>
  <c r="Q10" i="6"/>
  <c r="O7" i="6"/>
  <c r="O6" i="6"/>
  <c r="O5" i="6"/>
  <c r="O4" i="6"/>
  <c r="O3" i="6"/>
  <c r="F21" i="4"/>
  <c r="D21" i="4"/>
  <c r="E21" i="4"/>
  <c r="C21" i="4"/>
  <c r="G17" i="4"/>
  <c r="G18" i="4"/>
  <c r="G19" i="4"/>
  <c r="G16" i="4"/>
  <c r="G8" i="4"/>
  <c r="G9" i="4"/>
  <c r="G10" i="4"/>
  <c r="G7" i="4"/>
  <c r="C19" i="3"/>
  <c r="D19" i="3"/>
  <c r="E19" i="3"/>
  <c r="B19" i="3"/>
  <c r="F16" i="3"/>
  <c r="F17" i="3"/>
  <c r="F18" i="3"/>
  <c r="F15" i="3"/>
  <c r="E10" i="2"/>
  <c r="E11" i="2"/>
  <c r="E9" i="2"/>
  <c r="C12" i="2"/>
  <c r="D12" i="2"/>
  <c r="B12" i="2"/>
  <c r="F16" i="1"/>
  <c r="C14" i="1"/>
  <c r="D14" i="1"/>
  <c r="E14" i="1"/>
  <c r="B14" i="1"/>
  <c r="G12" i="1"/>
  <c r="G13" i="1"/>
  <c r="G11" i="1"/>
  <c r="H21" i="5"/>
  <c r="D21" i="5"/>
  <c r="E21" i="5"/>
  <c r="F21" i="5"/>
  <c r="G21" i="5"/>
  <c r="C21" i="5"/>
  <c r="H17" i="5"/>
  <c r="H18" i="5"/>
  <c r="H19" i="5"/>
  <c r="H20" i="5"/>
  <c r="H16" i="5"/>
  <c r="F21" i="3"/>
  <c r="E14" i="2"/>
  <c r="E25" i="8" l="1"/>
</calcChain>
</file>

<file path=xl/sharedStrings.xml><?xml version="1.0" encoding="utf-8"?>
<sst xmlns="http://schemas.openxmlformats.org/spreadsheetml/2006/main" count="184" uniqueCount="103">
  <si>
    <t>A</t>
  </si>
  <si>
    <t>B</t>
  </si>
  <si>
    <t>C</t>
  </si>
  <si>
    <t>c1</t>
  </si>
  <si>
    <t>c2</t>
  </si>
  <si>
    <t>c3</t>
  </si>
  <si>
    <t>c4</t>
  </si>
  <si>
    <t>Minimum cost =</t>
  </si>
  <si>
    <t>P1</t>
  </si>
  <si>
    <t>P2</t>
  </si>
  <si>
    <t>P3</t>
  </si>
  <si>
    <t>Minm cost</t>
  </si>
  <si>
    <t>F1</t>
  </si>
  <si>
    <t>F2</t>
  </si>
  <si>
    <t>w1</t>
  </si>
  <si>
    <t>W2</t>
  </si>
  <si>
    <t>D1</t>
  </si>
  <si>
    <t>d2</t>
  </si>
  <si>
    <t>W1</t>
  </si>
  <si>
    <t>Transportation</t>
  </si>
  <si>
    <t>Assignment</t>
  </si>
  <si>
    <t>Transhipment</t>
  </si>
  <si>
    <t xml:space="preserve">Max flow </t>
  </si>
  <si>
    <t>Shortest Path</t>
  </si>
  <si>
    <t>S</t>
  </si>
  <si>
    <t>M</t>
  </si>
  <si>
    <t>L</t>
  </si>
  <si>
    <t>a1</t>
  </si>
  <si>
    <t>a2</t>
  </si>
  <si>
    <t>b1</t>
  </si>
  <si>
    <t>b2</t>
  </si>
  <si>
    <t>d1</t>
  </si>
  <si>
    <t>e1</t>
  </si>
  <si>
    <t>e2</t>
  </si>
  <si>
    <t>=</t>
  </si>
  <si>
    <t>m</t>
  </si>
  <si>
    <t>l</t>
  </si>
  <si>
    <t xml:space="preserve">Sq ft </t>
  </si>
  <si>
    <t>Budget</t>
  </si>
  <si>
    <t>Z</t>
  </si>
  <si>
    <t>sq ft used</t>
  </si>
  <si>
    <t>Budget used</t>
  </si>
  <si>
    <t>s/d</t>
  </si>
  <si>
    <t>Child</t>
  </si>
  <si>
    <t>Wheat:Corn Low</t>
  </si>
  <si>
    <t>Wheat:Corn High</t>
  </si>
  <si>
    <t>Sugar</t>
  </si>
  <si>
    <t>Honey</t>
  </si>
  <si>
    <t>Artificial</t>
  </si>
  <si>
    <t>Flavor Bits Present</t>
  </si>
  <si>
    <t>Flavor Bits Absent</t>
  </si>
  <si>
    <t>Wheat</t>
  </si>
  <si>
    <t>Flavor</t>
  </si>
  <si>
    <t>Low</t>
  </si>
  <si>
    <t>High</t>
  </si>
  <si>
    <t xml:space="preserve">Sugar </t>
  </si>
  <si>
    <t>Hon</t>
  </si>
  <si>
    <t>Yes</t>
  </si>
  <si>
    <t>No</t>
  </si>
  <si>
    <t>My score</t>
  </si>
  <si>
    <t>Util score</t>
  </si>
  <si>
    <t>Y=1</t>
  </si>
  <si>
    <t>Max</t>
  </si>
  <si>
    <t>C1</t>
  </si>
  <si>
    <t>C3</t>
  </si>
  <si>
    <t>X1</t>
  </si>
  <si>
    <t>X2</t>
  </si>
  <si>
    <t>A1</t>
  </si>
  <si>
    <t>A2</t>
  </si>
  <si>
    <t>B1</t>
  </si>
  <si>
    <t>B2</t>
  </si>
  <si>
    <t>C2</t>
  </si>
  <si>
    <t>MAX</t>
  </si>
  <si>
    <t>MIN</t>
  </si>
  <si>
    <t>Team</t>
  </si>
  <si>
    <t>Budgeting</t>
  </si>
  <si>
    <t>Information</t>
  </si>
  <si>
    <t>Volunteers</t>
  </si>
  <si>
    <t>Forecasting</t>
  </si>
  <si>
    <t>D</t>
  </si>
  <si>
    <t>c</t>
  </si>
  <si>
    <t>From Node</t>
  </si>
  <si>
    <t>To Node</t>
  </si>
  <si>
    <t>Flow (Leave Blank)</t>
  </si>
  <si>
    <t>Capacity (Max Cars/Hr)</t>
  </si>
  <si>
    <t>F</t>
  </si>
  <si>
    <t>1 (Dummy)</t>
  </si>
  <si>
    <t>Sources</t>
  </si>
  <si>
    <t>Construction Cost</t>
  </si>
  <si>
    <t>Seattle</t>
  </si>
  <si>
    <t>Denver</t>
  </si>
  <si>
    <t>Kansas City</t>
  </si>
  <si>
    <t>Capacity</t>
  </si>
  <si>
    <t>San Diego</t>
  </si>
  <si>
    <t>Houston</t>
  </si>
  <si>
    <t>Tulsa</t>
  </si>
  <si>
    <t>St. Louis</t>
  </si>
  <si>
    <t>Portland</t>
  </si>
  <si>
    <t>Demand</t>
  </si>
  <si>
    <t>supploed</t>
  </si>
  <si>
    <t>Y</t>
  </si>
  <si>
    <t>total demand</t>
  </si>
  <si>
    <t>total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</si>
</sst>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0" xfId="0" applyFont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2" borderId="0" xfId="0" applyFont="1" applyFill="1"/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5" fillId="0" borderId="0" xfId="0" applyNumberFormat="1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BC2C-D4D8-469C-8506-C3110F8683FC}">
  <dimension ref="A1:G16"/>
  <sheetViews>
    <sheetView zoomScale="96" workbookViewId="0">
      <selection activeCell="F16" sqref="F16"/>
    </sheetView>
  </sheetViews>
  <sheetFormatPr defaultRowHeight="14.25" x14ac:dyDescent="0.45"/>
  <cols>
    <col min="5" max="5" width="13.46484375" customWidth="1"/>
  </cols>
  <sheetData>
    <row r="1" spans="1:7" x14ac:dyDescent="0.45">
      <c r="A1" t="s">
        <v>19</v>
      </c>
    </row>
    <row r="2" spans="1:7" x14ac:dyDescent="0.45">
      <c r="B2" t="s">
        <v>3</v>
      </c>
      <c r="C2" t="s">
        <v>4</v>
      </c>
      <c r="D2" t="s">
        <v>5</v>
      </c>
      <c r="E2" t="s">
        <v>6</v>
      </c>
    </row>
    <row r="3" spans="1:7" x14ac:dyDescent="0.45">
      <c r="A3" t="s">
        <v>0</v>
      </c>
      <c r="B3">
        <v>12</v>
      </c>
      <c r="C3">
        <v>13</v>
      </c>
      <c r="D3">
        <v>4</v>
      </c>
      <c r="E3">
        <v>6</v>
      </c>
      <c r="G3">
        <v>500</v>
      </c>
    </row>
    <row r="4" spans="1:7" x14ac:dyDescent="0.45">
      <c r="A4" t="s">
        <v>1</v>
      </c>
      <c r="B4">
        <v>6</v>
      </c>
      <c r="C4">
        <v>4</v>
      </c>
      <c r="D4">
        <v>10</v>
      </c>
      <c r="E4">
        <v>11</v>
      </c>
      <c r="G4">
        <v>700</v>
      </c>
    </row>
    <row r="5" spans="1:7" x14ac:dyDescent="0.45">
      <c r="A5" t="s">
        <v>2</v>
      </c>
      <c r="B5">
        <v>10</v>
      </c>
      <c r="C5">
        <v>12</v>
      </c>
      <c r="D5">
        <v>12</v>
      </c>
      <c r="E5">
        <v>4</v>
      </c>
      <c r="G5">
        <v>600</v>
      </c>
    </row>
    <row r="7" spans="1:7" x14ac:dyDescent="0.45">
      <c r="B7">
        <v>400</v>
      </c>
      <c r="C7">
        <v>500</v>
      </c>
      <c r="D7">
        <v>400</v>
      </c>
      <c r="E7">
        <v>400</v>
      </c>
    </row>
    <row r="9" spans="1:7" ht="14.65" thickBot="1" x14ac:dyDescent="0.5"/>
    <row r="10" spans="1:7" x14ac:dyDescent="0.45">
      <c r="A10" s="2"/>
      <c r="B10" s="3" t="s">
        <v>3</v>
      </c>
      <c r="C10" s="3" t="s">
        <v>4</v>
      </c>
      <c r="D10" s="3" t="s">
        <v>5</v>
      </c>
      <c r="E10" s="4" t="s">
        <v>6</v>
      </c>
    </row>
    <row r="11" spans="1:7" x14ac:dyDescent="0.45">
      <c r="A11" s="5" t="s">
        <v>0</v>
      </c>
      <c r="B11">
        <v>0</v>
      </c>
      <c r="C11">
        <v>0</v>
      </c>
      <c r="D11">
        <v>400</v>
      </c>
      <c r="E11" s="6">
        <v>0</v>
      </c>
      <c r="G11">
        <f>SUM(B11:E11)</f>
        <v>400</v>
      </c>
    </row>
    <row r="12" spans="1:7" x14ac:dyDescent="0.45">
      <c r="A12" s="5" t="s">
        <v>1</v>
      </c>
      <c r="B12">
        <v>200</v>
      </c>
      <c r="C12">
        <v>500</v>
      </c>
      <c r="D12">
        <v>0</v>
      </c>
      <c r="E12" s="6">
        <v>0</v>
      </c>
      <c r="G12">
        <f t="shared" ref="G12:G13" si="0">SUM(B12:E12)</f>
        <v>700</v>
      </c>
    </row>
    <row r="13" spans="1:7" ht="14.65" thickBot="1" x14ac:dyDescent="0.5">
      <c r="A13" s="7" t="s">
        <v>2</v>
      </c>
      <c r="B13" s="8">
        <v>200</v>
      </c>
      <c r="C13" s="8">
        <v>0</v>
      </c>
      <c r="D13" s="8">
        <v>0</v>
      </c>
      <c r="E13" s="9">
        <v>400</v>
      </c>
      <c r="G13">
        <f t="shared" si="0"/>
        <v>600</v>
      </c>
    </row>
    <row r="14" spans="1:7" x14ac:dyDescent="0.45">
      <c r="B14">
        <f>SUM(B11:B13)</f>
        <v>400</v>
      </c>
      <c r="C14">
        <f t="shared" ref="C14:E14" si="1">SUM(C11:C13)</f>
        <v>500</v>
      </c>
      <c r="D14">
        <f t="shared" si="1"/>
        <v>400</v>
      </c>
      <c r="E14">
        <f t="shared" si="1"/>
        <v>400</v>
      </c>
    </row>
    <row r="16" spans="1:7" x14ac:dyDescent="0.45">
      <c r="E16" t="s">
        <v>7</v>
      </c>
      <c r="F16" s="1">
        <f>SUMPRODUCT(B3:E5,B11:E13)</f>
        <v>8400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AAEC-6F9B-44CC-8847-940F2B126B8E}">
  <dimension ref="A1:E19"/>
  <sheetViews>
    <sheetView workbookViewId="0">
      <selection activeCell="D11" sqref="D11"/>
    </sheetView>
  </sheetViews>
  <sheetFormatPr defaultRowHeight="14.25" x14ac:dyDescent="0.45"/>
  <sheetData>
    <row r="1" spans="1:5" x14ac:dyDescent="0.45">
      <c r="A1" t="s">
        <v>20</v>
      </c>
    </row>
    <row r="3" spans="1:5" x14ac:dyDescent="0.45">
      <c r="B3" t="s">
        <v>8</v>
      </c>
      <c r="C3" t="s">
        <v>9</v>
      </c>
      <c r="D3" t="s">
        <v>10</v>
      </c>
    </row>
    <row r="4" spans="1:5" x14ac:dyDescent="0.45">
      <c r="A4" t="s">
        <v>0</v>
      </c>
      <c r="B4">
        <v>11</v>
      </c>
      <c r="C4">
        <v>14</v>
      </c>
      <c r="D4">
        <v>6</v>
      </c>
    </row>
    <row r="5" spans="1:5" x14ac:dyDescent="0.45">
      <c r="A5" t="s">
        <v>1</v>
      </c>
      <c r="B5">
        <v>8</v>
      </c>
      <c r="C5">
        <v>10</v>
      </c>
      <c r="D5">
        <v>11</v>
      </c>
    </row>
    <row r="6" spans="1:5" x14ac:dyDescent="0.45">
      <c r="A6" t="s">
        <v>2</v>
      </c>
      <c r="B6">
        <v>9</v>
      </c>
      <c r="C6">
        <v>12</v>
      </c>
      <c r="D6">
        <v>7</v>
      </c>
    </row>
    <row r="8" spans="1:5" x14ac:dyDescent="0.45">
      <c r="B8" t="s">
        <v>8</v>
      </c>
      <c r="C8" t="s">
        <v>9</v>
      </c>
      <c r="D8" t="s">
        <v>10</v>
      </c>
    </row>
    <row r="9" spans="1:5" x14ac:dyDescent="0.45">
      <c r="A9" t="s">
        <v>0</v>
      </c>
      <c r="B9">
        <v>0</v>
      </c>
      <c r="C9">
        <v>0</v>
      </c>
      <c r="D9">
        <v>1</v>
      </c>
      <c r="E9">
        <f>SUM(B9:D9)</f>
        <v>1</v>
      </c>
    </row>
    <row r="10" spans="1:5" x14ac:dyDescent="0.45">
      <c r="A10" t="s">
        <v>1</v>
      </c>
      <c r="B10">
        <v>0</v>
      </c>
      <c r="C10">
        <v>1</v>
      </c>
      <c r="D10">
        <v>0</v>
      </c>
      <c r="E10">
        <f t="shared" ref="E10:E11" si="0">SUM(B10:D10)</f>
        <v>1</v>
      </c>
    </row>
    <row r="11" spans="1:5" x14ac:dyDescent="0.45">
      <c r="A11" t="s">
        <v>2</v>
      </c>
      <c r="B11">
        <v>1</v>
      </c>
      <c r="C11">
        <v>0</v>
      </c>
      <c r="D11">
        <v>0</v>
      </c>
      <c r="E11">
        <f t="shared" si="0"/>
        <v>1</v>
      </c>
    </row>
    <row r="12" spans="1:5" x14ac:dyDescent="0.45">
      <c r="B12">
        <f>SUM(B9:B11)</f>
        <v>1</v>
      </c>
      <c r="C12">
        <f t="shared" ref="C12:D12" si="1">SUM(C9:C11)</f>
        <v>1</v>
      </c>
      <c r="D12">
        <f t="shared" si="1"/>
        <v>1</v>
      </c>
    </row>
    <row r="14" spans="1:5" x14ac:dyDescent="0.45">
      <c r="D14" t="s">
        <v>11</v>
      </c>
      <c r="E14">
        <f>SUMPRODUCT(B4:D6,B9:D11)</f>
        <v>25</v>
      </c>
    </row>
    <row r="19" spans="2:4" x14ac:dyDescent="0.45">
      <c r="B19">
        <v>1</v>
      </c>
      <c r="C19">
        <v>1</v>
      </c>
      <c r="D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EEA-AC27-4F57-B8DA-7DE947911190}">
  <dimension ref="A1:F21"/>
  <sheetViews>
    <sheetView workbookViewId="0">
      <selection activeCell="D18" sqref="D18"/>
    </sheetView>
  </sheetViews>
  <sheetFormatPr defaultRowHeight="14.25" x14ac:dyDescent="0.45"/>
  <sheetData>
    <row r="1" spans="1:6" x14ac:dyDescent="0.45">
      <c r="A1" t="s">
        <v>21</v>
      </c>
    </row>
    <row r="6" spans="1:6" x14ac:dyDescent="0.45">
      <c r="B6" t="s">
        <v>14</v>
      </c>
      <c r="C6" t="s">
        <v>15</v>
      </c>
      <c r="D6" t="s">
        <v>16</v>
      </c>
      <c r="E6" t="s">
        <v>17</v>
      </c>
    </row>
    <row r="7" spans="1:6" x14ac:dyDescent="0.45">
      <c r="A7" t="s">
        <v>12</v>
      </c>
      <c r="B7">
        <v>2</v>
      </c>
      <c r="C7">
        <v>3</v>
      </c>
      <c r="F7">
        <v>600</v>
      </c>
    </row>
    <row r="8" spans="1:6" x14ac:dyDescent="0.45">
      <c r="A8" t="s">
        <v>13</v>
      </c>
      <c r="B8">
        <v>4</v>
      </c>
      <c r="C8">
        <v>1</v>
      </c>
      <c r="F8">
        <v>400</v>
      </c>
    </row>
    <row r="9" spans="1:6" x14ac:dyDescent="0.45">
      <c r="A9" t="s">
        <v>18</v>
      </c>
      <c r="D9">
        <v>3</v>
      </c>
      <c r="E9">
        <v>6</v>
      </c>
    </row>
    <row r="10" spans="1:6" x14ac:dyDescent="0.45">
      <c r="A10" t="s">
        <v>15</v>
      </c>
      <c r="D10">
        <v>4</v>
      </c>
      <c r="E10">
        <v>2</v>
      </c>
    </row>
    <row r="11" spans="1:6" x14ac:dyDescent="0.45">
      <c r="D11">
        <v>450</v>
      </c>
      <c r="E11">
        <v>350</v>
      </c>
    </row>
    <row r="14" spans="1:6" x14ac:dyDescent="0.45">
      <c r="B14" t="s">
        <v>14</v>
      </c>
      <c r="C14" t="s">
        <v>15</v>
      </c>
      <c r="D14" t="s">
        <v>16</v>
      </c>
      <c r="E14" t="s">
        <v>17</v>
      </c>
    </row>
    <row r="15" spans="1:6" x14ac:dyDescent="0.45">
      <c r="A15" t="s">
        <v>12</v>
      </c>
      <c r="B15">
        <v>400</v>
      </c>
      <c r="C15">
        <v>0</v>
      </c>
      <c r="D15">
        <v>0</v>
      </c>
      <c r="E15">
        <v>0</v>
      </c>
      <c r="F15">
        <f>SUMIF(B7:E7,"&gt;0",B15:E15)</f>
        <v>400</v>
      </c>
    </row>
    <row r="16" spans="1:6" x14ac:dyDescent="0.45">
      <c r="A16" t="s">
        <v>13</v>
      </c>
      <c r="B16">
        <v>0</v>
      </c>
      <c r="C16">
        <v>400</v>
      </c>
      <c r="D16">
        <v>0</v>
      </c>
      <c r="E16">
        <v>0</v>
      </c>
      <c r="F16">
        <f t="shared" ref="F16:F18" si="0">SUMIF(B8:E8,"&gt;0",B16:E16)</f>
        <v>400</v>
      </c>
    </row>
    <row r="17" spans="1:6" x14ac:dyDescent="0.45">
      <c r="A17" t="s">
        <v>18</v>
      </c>
      <c r="B17">
        <v>0</v>
      </c>
      <c r="C17">
        <v>0</v>
      </c>
      <c r="D17">
        <v>400</v>
      </c>
      <c r="E17">
        <v>0</v>
      </c>
      <c r="F17">
        <f t="shared" si="0"/>
        <v>400</v>
      </c>
    </row>
    <row r="18" spans="1:6" x14ac:dyDescent="0.45">
      <c r="A18" t="s">
        <v>15</v>
      </c>
      <c r="B18">
        <v>0</v>
      </c>
      <c r="C18">
        <v>0</v>
      </c>
      <c r="D18">
        <v>50</v>
      </c>
      <c r="E18">
        <v>350</v>
      </c>
      <c r="F18">
        <f t="shared" si="0"/>
        <v>400</v>
      </c>
    </row>
    <row r="19" spans="1:6" x14ac:dyDescent="0.45">
      <c r="B19">
        <f>SUMIF(B7:B10,"&gt;0",B15:B18)</f>
        <v>400</v>
      </c>
      <c r="C19">
        <f t="shared" ref="C19:E19" si="1">SUMIF(C7:C10,"&gt;0",C15:C18)</f>
        <v>400</v>
      </c>
      <c r="D19">
        <f t="shared" si="1"/>
        <v>450</v>
      </c>
      <c r="E19">
        <f t="shared" si="1"/>
        <v>350</v>
      </c>
    </row>
    <row r="21" spans="1:6" x14ac:dyDescent="0.45">
      <c r="F21">
        <f>SUMPRODUCT(B7:E10,B15:E18)</f>
        <v>3300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161F-F254-406F-8CE3-C8E49442CEE5}">
  <dimension ref="A1:G21"/>
  <sheetViews>
    <sheetView workbookViewId="0">
      <selection activeCell="G16" sqref="G16"/>
    </sheetView>
  </sheetViews>
  <sheetFormatPr defaultRowHeight="14.25" x14ac:dyDescent="0.45"/>
  <sheetData>
    <row r="1" spans="1:7" x14ac:dyDescent="0.45">
      <c r="A1" t="s">
        <v>22</v>
      </c>
    </row>
    <row r="6" spans="1:7" x14ac:dyDescent="0.45">
      <c r="B6">
        <v>1</v>
      </c>
      <c r="C6">
        <v>2</v>
      </c>
      <c r="D6">
        <v>3</v>
      </c>
      <c r="E6">
        <v>4</v>
      </c>
      <c r="F6">
        <v>5</v>
      </c>
    </row>
    <row r="7" spans="1:7" x14ac:dyDescent="0.45">
      <c r="A7">
        <v>1</v>
      </c>
      <c r="B7">
        <v>0</v>
      </c>
      <c r="C7">
        <v>20</v>
      </c>
      <c r="D7">
        <v>30</v>
      </c>
      <c r="E7">
        <v>0</v>
      </c>
      <c r="F7">
        <v>0</v>
      </c>
      <c r="G7">
        <f>SUM(B7:F7)</f>
        <v>50</v>
      </c>
    </row>
    <row r="8" spans="1:7" x14ac:dyDescent="0.45">
      <c r="A8">
        <v>2</v>
      </c>
      <c r="B8">
        <v>0</v>
      </c>
      <c r="C8">
        <v>0</v>
      </c>
      <c r="D8">
        <v>10</v>
      </c>
      <c r="E8">
        <v>20</v>
      </c>
      <c r="F8">
        <v>0</v>
      </c>
      <c r="G8">
        <f t="shared" ref="G8:G10" si="0">SUM(B8:F8)</f>
        <v>30</v>
      </c>
    </row>
    <row r="9" spans="1:7" x14ac:dyDescent="0.45">
      <c r="A9">
        <v>3</v>
      </c>
      <c r="B9">
        <v>0</v>
      </c>
      <c r="C9">
        <v>0</v>
      </c>
      <c r="D9">
        <v>0</v>
      </c>
      <c r="E9">
        <v>10</v>
      </c>
      <c r="F9">
        <v>25</v>
      </c>
      <c r="G9">
        <f t="shared" si="0"/>
        <v>35</v>
      </c>
    </row>
    <row r="10" spans="1:7" x14ac:dyDescent="0.45">
      <c r="A10">
        <v>4</v>
      </c>
      <c r="B10">
        <v>0</v>
      </c>
      <c r="C10">
        <v>0</v>
      </c>
      <c r="D10">
        <v>0</v>
      </c>
      <c r="E10">
        <v>0</v>
      </c>
      <c r="F10">
        <v>20</v>
      </c>
      <c r="G10">
        <f t="shared" si="0"/>
        <v>20</v>
      </c>
    </row>
    <row r="11" spans="1:7" x14ac:dyDescent="0.45">
      <c r="A11">
        <v>5</v>
      </c>
      <c r="B11">
        <v>0</v>
      </c>
      <c r="C11">
        <v>0</v>
      </c>
      <c r="D11">
        <v>0</v>
      </c>
      <c r="E11">
        <v>0</v>
      </c>
      <c r="F11">
        <v>0</v>
      </c>
    </row>
    <row r="15" spans="1:7" x14ac:dyDescent="0.45">
      <c r="B15">
        <v>1</v>
      </c>
      <c r="C15">
        <v>2</v>
      </c>
      <c r="D15">
        <v>3</v>
      </c>
      <c r="E15">
        <v>4</v>
      </c>
      <c r="F15">
        <v>5</v>
      </c>
    </row>
    <row r="16" spans="1:7" x14ac:dyDescent="0.45">
      <c r="A16">
        <v>1</v>
      </c>
      <c r="B16">
        <v>0</v>
      </c>
      <c r="C16">
        <v>20</v>
      </c>
      <c r="D16">
        <v>25</v>
      </c>
      <c r="E16">
        <v>0</v>
      </c>
      <c r="F16">
        <v>0</v>
      </c>
      <c r="G16">
        <f>SUMIF(B7:F7,"&gt;0",B16:F16)</f>
        <v>45</v>
      </c>
    </row>
    <row r="17" spans="1:7" x14ac:dyDescent="0.45">
      <c r="A17">
        <v>2</v>
      </c>
      <c r="B17">
        <v>0</v>
      </c>
      <c r="C17">
        <v>0</v>
      </c>
      <c r="D17">
        <v>0</v>
      </c>
      <c r="E17">
        <v>20</v>
      </c>
      <c r="F17">
        <v>0</v>
      </c>
      <c r="G17">
        <f t="shared" ref="G17:G19" si="1">SUMIF(B8:F8,"&gt;0",B17:F17)</f>
        <v>20</v>
      </c>
    </row>
    <row r="18" spans="1:7" x14ac:dyDescent="0.45">
      <c r="A18">
        <v>3</v>
      </c>
      <c r="B18">
        <v>0</v>
      </c>
      <c r="C18">
        <v>0</v>
      </c>
      <c r="D18">
        <v>0</v>
      </c>
      <c r="E18">
        <v>0</v>
      </c>
      <c r="F18">
        <v>25</v>
      </c>
      <c r="G18">
        <f t="shared" si="1"/>
        <v>25</v>
      </c>
    </row>
    <row r="19" spans="1:7" x14ac:dyDescent="0.45">
      <c r="A19">
        <v>4</v>
      </c>
      <c r="B19">
        <v>0</v>
      </c>
      <c r="C19">
        <v>0</v>
      </c>
      <c r="D19">
        <v>0</v>
      </c>
      <c r="E19">
        <v>0</v>
      </c>
      <c r="F19">
        <v>20</v>
      </c>
      <c r="G19">
        <f t="shared" si="1"/>
        <v>20</v>
      </c>
    </row>
    <row r="20" spans="1:7" x14ac:dyDescent="0.45">
      <c r="A20">
        <v>5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7" x14ac:dyDescent="0.45">
      <c r="C21">
        <f>SUM(C16:C19)</f>
        <v>20</v>
      </c>
      <c r="D21">
        <f t="shared" ref="D21:E21" si="2">SUM(D16:D19)</f>
        <v>25</v>
      </c>
      <c r="E21">
        <f t="shared" si="2"/>
        <v>20</v>
      </c>
      <c r="F21">
        <f>SUM(F16:F19)</f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813F-32AF-442E-80E7-1423F9396B60}">
  <dimension ref="A1:H25"/>
  <sheetViews>
    <sheetView workbookViewId="0">
      <selection activeCell="C16" sqref="C16"/>
    </sheetView>
  </sheetViews>
  <sheetFormatPr defaultRowHeight="14.25" x14ac:dyDescent="0.45"/>
  <sheetData>
    <row r="1" spans="1:8" x14ac:dyDescent="0.45">
      <c r="A1" t="s">
        <v>23</v>
      </c>
    </row>
    <row r="5" spans="1:8" x14ac:dyDescent="0.45">
      <c r="B5">
        <v>1</v>
      </c>
      <c r="C5">
        <v>2</v>
      </c>
      <c r="D5">
        <v>3</v>
      </c>
      <c r="E5">
        <v>4</v>
      </c>
      <c r="F5">
        <v>5</v>
      </c>
      <c r="G5">
        <v>6</v>
      </c>
    </row>
    <row r="6" spans="1:8" x14ac:dyDescent="0.45">
      <c r="A6">
        <v>1</v>
      </c>
      <c r="C6">
        <v>4</v>
      </c>
      <c r="D6">
        <v>2</v>
      </c>
    </row>
    <row r="7" spans="1:8" x14ac:dyDescent="0.45">
      <c r="A7">
        <v>2</v>
      </c>
      <c r="D7">
        <v>1</v>
      </c>
      <c r="E7">
        <v>5</v>
      </c>
    </row>
    <row r="8" spans="1:8" x14ac:dyDescent="0.45">
      <c r="A8">
        <v>3</v>
      </c>
      <c r="E8">
        <v>8</v>
      </c>
      <c r="F8">
        <v>10</v>
      </c>
    </row>
    <row r="9" spans="1:8" x14ac:dyDescent="0.45">
      <c r="A9">
        <v>4</v>
      </c>
      <c r="F9">
        <v>2</v>
      </c>
      <c r="G9">
        <v>6</v>
      </c>
    </row>
    <row r="10" spans="1:8" x14ac:dyDescent="0.45">
      <c r="A10">
        <v>5</v>
      </c>
      <c r="G10">
        <v>2</v>
      </c>
    </row>
    <row r="11" spans="1:8" x14ac:dyDescent="0.45">
      <c r="A11">
        <v>6</v>
      </c>
    </row>
    <row r="15" spans="1:8" x14ac:dyDescent="0.45"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</row>
    <row r="16" spans="1:8" x14ac:dyDescent="0.45">
      <c r="A16">
        <v>1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f>SUMIF(B6:G6,"&gt;0",Sheet5!B16:G16)</f>
        <v>1</v>
      </c>
    </row>
    <row r="17" spans="1:8" x14ac:dyDescent="0.45">
      <c r="A17">
        <v>2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f>SUMIF(B7:G7,"&gt;0",Sheet5!B17:G17)</f>
        <v>1</v>
      </c>
    </row>
    <row r="18" spans="1:8" x14ac:dyDescent="0.45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f>SUMIF(B8:G8,"&gt;0",Sheet5!B18:G18)</f>
        <v>0</v>
      </c>
    </row>
    <row r="19" spans="1:8" x14ac:dyDescent="0.45">
      <c r="A19">
        <v>4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f>SUMIF(B9:G9,"&gt;0",Sheet5!B19:G19)</f>
        <v>1</v>
      </c>
    </row>
    <row r="20" spans="1:8" x14ac:dyDescent="0.45">
      <c r="A20">
        <v>5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f>SUMIF(B10:G10,"&gt;0",Sheet5!B20:G20)</f>
        <v>1</v>
      </c>
    </row>
    <row r="21" spans="1:8" x14ac:dyDescent="0.45">
      <c r="C21">
        <f>SUMIF(C6:C10,"&gt;0",C16:C20)</f>
        <v>1</v>
      </c>
      <c r="D21">
        <f t="shared" ref="D21:G21" si="0">SUMIF(D6:D10,"&gt;0",D16:D20)</f>
        <v>0</v>
      </c>
      <c r="E21">
        <f t="shared" si="0"/>
        <v>1</v>
      </c>
      <c r="F21">
        <f t="shared" si="0"/>
        <v>1</v>
      </c>
      <c r="G21">
        <f t="shared" si="0"/>
        <v>1</v>
      </c>
      <c r="H21">
        <f>SUMPRODUCT(B6:G10,B16:G20)</f>
        <v>13</v>
      </c>
    </row>
    <row r="25" spans="1:8" x14ac:dyDescent="0.45">
      <c r="C25">
        <v>1</v>
      </c>
      <c r="D25">
        <v>1</v>
      </c>
      <c r="E25">
        <v>1</v>
      </c>
      <c r="F25">
        <v>1</v>
      </c>
      <c r="G2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3B8B-B774-436C-A8AE-79DD9D93E4FF}">
  <dimension ref="A2:Q14"/>
  <sheetViews>
    <sheetView workbookViewId="0">
      <selection activeCell="Q10" sqref="Q10"/>
    </sheetView>
  </sheetViews>
  <sheetFormatPr defaultRowHeight="14.25" x14ac:dyDescent="0.45"/>
  <sheetData>
    <row r="2" spans="1:17" x14ac:dyDescent="0.45"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</v>
      </c>
      <c r="J2" t="s">
        <v>4</v>
      </c>
      <c r="K2" t="s">
        <v>31</v>
      </c>
      <c r="L2" t="s">
        <v>17</v>
      </c>
      <c r="M2" t="s">
        <v>32</v>
      </c>
      <c r="N2" t="s">
        <v>33</v>
      </c>
    </row>
    <row r="3" spans="1:17" x14ac:dyDescent="0.45">
      <c r="A3" t="s">
        <v>24</v>
      </c>
      <c r="B3">
        <v>1</v>
      </c>
      <c r="C3">
        <v>0</v>
      </c>
      <c r="D3">
        <v>0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f>B3*B10+E3*E10+F3*F10</f>
        <v>5</v>
      </c>
      <c r="P3" t="s">
        <v>34</v>
      </c>
      <c r="Q3">
        <v>5</v>
      </c>
    </row>
    <row r="4" spans="1:17" x14ac:dyDescent="0.45">
      <c r="A4" t="s">
        <v>35</v>
      </c>
      <c r="B4">
        <v>0</v>
      </c>
      <c r="C4">
        <v>1</v>
      </c>
      <c r="D4">
        <v>0</v>
      </c>
      <c r="E4">
        <v>0</v>
      </c>
      <c r="F4">
        <v>0</v>
      </c>
      <c r="G4">
        <v>1</v>
      </c>
      <c r="H4">
        <v>-1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f>C4*C10+G4*G10+H4*H10</f>
        <v>10</v>
      </c>
      <c r="P4" t="s">
        <v>34</v>
      </c>
      <c r="Q4">
        <v>10</v>
      </c>
    </row>
    <row r="5" spans="1:17" x14ac:dyDescent="0.45">
      <c r="A5" t="s">
        <v>36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-1</v>
      </c>
      <c r="K5">
        <v>0</v>
      </c>
      <c r="L5">
        <v>0</v>
      </c>
      <c r="M5">
        <v>0</v>
      </c>
      <c r="N5">
        <v>0</v>
      </c>
      <c r="O5">
        <f>D5*D10+I5*I10+J5*J10</f>
        <v>15</v>
      </c>
      <c r="P5" t="s">
        <v>34</v>
      </c>
      <c r="Q5">
        <v>15</v>
      </c>
    </row>
    <row r="6" spans="1:17" x14ac:dyDescent="0.45">
      <c r="A6" t="s">
        <v>37</v>
      </c>
      <c r="B6">
        <v>400</v>
      </c>
      <c r="C6">
        <v>750</v>
      </c>
      <c r="D6">
        <v>1050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-1</v>
      </c>
      <c r="M6">
        <v>0</v>
      </c>
      <c r="N6">
        <v>0</v>
      </c>
      <c r="O6">
        <f>SUMPRODUCT(B6:D6,B10:D10)+(K6*K10)+(L6*L10)</f>
        <v>25000</v>
      </c>
      <c r="P6" t="s">
        <v>34</v>
      </c>
      <c r="Q6">
        <v>25000</v>
      </c>
    </row>
    <row r="7" spans="1:17" x14ac:dyDescent="0.45">
      <c r="A7" t="s">
        <v>38</v>
      </c>
      <c r="B7">
        <v>18000</v>
      </c>
      <c r="C7">
        <v>33000</v>
      </c>
      <c r="D7">
        <v>45150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-1</v>
      </c>
      <c r="O7">
        <f>SUMPRODUCT(B7:D7,B10:D10)+(M6*M10)+(N6*N10)</f>
        <v>998250</v>
      </c>
      <c r="P7" t="s">
        <v>34</v>
      </c>
      <c r="Q7">
        <v>1000000</v>
      </c>
    </row>
    <row r="9" spans="1:17" x14ac:dyDescent="0.45"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</v>
      </c>
      <c r="J9" t="s">
        <v>4</v>
      </c>
      <c r="K9" t="s">
        <v>31</v>
      </c>
      <c r="L9" t="s">
        <v>17</v>
      </c>
      <c r="M9" t="s">
        <v>32</v>
      </c>
      <c r="N9" t="s">
        <v>33</v>
      </c>
    </row>
    <row r="10" spans="1:17" x14ac:dyDescent="0.45">
      <c r="B10">
        <v>5</v>
      </c>
      <c r="C10">
        <v>7</v>
      </c>
      <c r="D10">
        <v>15</v>
      </c>
      <c r="E10">
        <v>0</v>
      </c>
      <c r="F10">
        <v>0</v>
      </c>
      <c r="G10">
        <v>3</v>
      </c>
      <c r="H10">
        <v>0</v>
      </c>
      <c r="I10">
        <v>0</v>
      </c>
      <c r="J10">
        <v>0</v>
      </c>
      <c r="K10">
        <v>1999.9999999999998</v>
      </c>
      <c r="L10">
        <v>0</v>
      </c>
      <c r="M10">
        <v>0</v>
      </c>
      <c r="N10">
        <v>0</v>
      </c>
      <c r="P10" t="s">
        <v>39</v>
      </c>
      <c r="Q10">
        <f>(1000 *SUM(E10:J10))+(K10+L10)+M10</f>
        <v>5000</v>
      </c>
    </row>
    <row r="13" spans="1:17" x14ac:dyDescent="0.45">
      <c r="B13" t="s">
        <v>40</v>
      </c>
      <c r="C13" t="s">
        <v>41</v>
      </c>
    </row>
    <row r="14" spans="1:17" x14ac:dyDescent="0.45">
      <c r="B14">
        <f>SUMPRODUCT(B6:D6,B10:D10)</f>
        <v>23000</v>
      </c>
      <c r="C14">
        <f>SUMPRODUCT(B7:D7,B10:D10)</f>
        <v>998250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F568-8B8B-42FB-8804-3E22527EEB93}">
  <dimension ref="A2:I21"/>
  <sheetViews>
    <sheetView workbookViewId="0">
      <selection activeCell="H21" sqref="H21"/>
    </sheetView>
  </sheetViews>
  <sheetFormatPr defaultRowHeight="14.25" x14ac:dyDescent="0.45"/>
  <sheetData>
    <row r="2" spans="1:9" ht="14.65" thickBot="1" x14ac:dyDescent="0.5"/>
    <row r="3" spans="1:9" x14ac:dyDescent="0.45">
      <c r="A3" s="10" t="s">
        <v>42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2">
        <v>7</v>
      </c>
    </row>
    <row r="4" spans="1:9" x14ac:dyDescent="0.45">
      <c r="A4" s="5">
        <v>1</v>
      </c>
      <c r="B4">
        <v>0</v>
      </c>
      <c r="C4">
        <v>6</v>
      </c>
      <c r="D4">
        <v>0</v>
      </c>
      <c r="E4">
        <v>6</v>
      </c>
      <c r="F4">
        <v>0</v>
      </c>
      <c r="G4">
        <v>0</v>
      </c>
      <c r="H4" s="6">
        <v>0</v>
      </c>
    </row>
    <row r="5" spans="1:9" x14ac:dyDescent="0.45">
      <c r="A5" s="5">
        <v>2</v>
      </c>
      <c r="B5">
        <v>0</v>
      </c>
      <c r="C5">
        <v>0</v>
      </c>
      <c r="D5">
        <v>2</v>
      </c>
      <c r="E5">
        <v>0</v>
      </c>
      <c r="F5">
        <v>3</v>
      </c>
      <c r="G5">
        <v>0</v>
      </c>
      <c r="H5" s="6">
        <v>0</v>
      </c>
    </row>
    <row r="6" spans="1:9" x14ac:dyDescent="0.45">
      <c r="A6" s="5">
        <v>3</v>
      </c>
      <c r="B6">
        <v>0</v>
      </c>
      <c r="C6">
        <v>2</v>
      </c>
      <c r="D6">
        <v>0</v>
      </c>
      <c r="E6">
        <v>3</v>
      </c>
      <c r="F6">
        <v>2</v>
      </c>
      <c r="G6">
        <v>2</v>
      </c>
      <c r="H6" s="6">
        <v>0</v>
      </c>
    </row>
    <row r="7" spans="1:9" x14ac:dyDescent="0.45">
      <c r="A7" s="5">
        <v>4</v>
      </c>
      <c r="B7">
        <v>0</v>
      </c>
      <c r="C7">
        <v>0</v>
      </c>
      <c r="D7">
        <v>3</v>
      </c>
      <c r="E7">
        <v>0</v>
      </c>
      <c r="F7">
        <v>0</v>
      </c>
      <c r="G7">
        <v>1</v>
      </c>
      <c r="H7" s="6">
        <v>2</v>
      </c>
    </row>
    <row r="8" spans="1:9" x14ac:dyDescent="0.45">
      <c r="A8" s="5">
        <v>5</v>
      </c>
      <c r="B8">
        <v>0</v>
      </c>
      <c r="C8">
        <v>3</v>
      </c>
      <c r="D8">
        <v>2</v>
      </c>
      <c r="E8">
        <v>0</v>
      </c>
      <c r="F8">
        <v>0</v>
      </c>
      <c r="G8">
        <v>0</v>
      </c>
      <c r="H8" s="6">
        <v>5</v>
      </c>
    </row>
    <row r="9" spans="1:9" x14ac:dyDescent="0.45">
      <c r="A9" s="5">
        <v>6</v>
      </c>
      <c r="B9">
        <v>0</v>
      </c>
      <c r="C9">
        <v>0</v>
      </c>
      <c r="D9">
        <v>2</v>
      </c>
      <c r="E9">
        <v>1</v>
      </c>
      <c r="F9">
        <v>5</v>
      </c>
      <c r="G9">
        <v>0</v>
      </c>
      <c r="H9" s="6">
        <v>5</v>
      </c>
    </row>
    <row r="10" spans="1:9" ht="14.65" thickBot="1" x14ac:dyDescent="0.5">
      <c r="A10" s="7">
        <v>7</v>
      </c>
      <c r="B10" s="8"/>
      <c r="C10" s="8"/>
      <c r="D10" s="8"/>
      <c r="E10" s="8"/>
      <c r="F10" s="8"/>
      <c r="G10" s="8"/>
      <c r="H10" s="9"/>
    </row>
    <row r="12" spans="1:9" ht="14.65" thickBot="1" x14ac:dyDescent="0.5"/>
    <row r="13" spans="1:9" x14ac:dyDescent="0.45">
      <c r="A13" s="10"/>
      <c r="B13" s="11">
        <v>1</v>
      </c>
      <c r="C13" s="11">
        <v>2</v>
      </c>
      <c r="D13" s="11">
        <v>3</v>
      </c>
      <c r="E13" s="11">
        <v>4</v>
      </c>
      <c r="F13" s="11">
        <v>5</v>
      </c>
      <c r="G13" s="11">
        <v>6</v>
      </c>
      <c r="H13" s="12">
        <v>7</v>
      </c>
    </row>
    <row r="14" spans="1:9" x14ac:dyDescent="0.45">
      <c r="A14" s="5">
        <v>1</v>
      </c>
      <c r="B14">
        <v>0</v>
      </c>
      <c r="C14">
        <v>5</v>
      </c>
      <c r="D14">
        <v>0</v>
      </c>
      <c r="E14">
        <v>5</v>
      </c>
      <c r="F14">
        <v>0</v>
      </c>
      <c r="G14">
        <v>0</v>
      </c>
      <c r="H14" s="6">
        <v>0</v>
      </c>
      <c r="I14">
        <f>SUMIF(B4:H4,"&gt;0",B14:H14)</f>
        <v>10</v>
      </c>
    </row>
    <row r="15" spans="1:9" x14ac:dyDescent="0.45">
      <c r="A15" s="5">
        <v>2</v>
      </c>
      <c r="B15">
        <v>0</v>
      </c>
      <c r="C15">
        <v>0</v>
      </c>
      <c r="D15">
        <v>2</v>
      </c>
      <c r="E15">
        <v>0</v>
      </c>
      <c r="F15">
        <v>3</v>
      </c>
      <c r="G15">
        <v>0</v>
      </c>
      <c r="H15" s="6">
        <v>0</v>
      </c>
      <c r="I15">
        <f t="shared" ref="I15:I19" si="0">SUMIF(B5:H5,"&gt;0",B15:H15)</f>
        <v>5</v>
      </c>
    </row>
    <row r="16" spans="1:9" x14ac:dyDescent="0.45">
      <c r="A16" s="5">
        <v>3</v>
      </c>
      <c r="B16">
        <v>0</v>
      </c>
      <c r="C16">
        <v>0</v>
      </c>
      <c r="D16">
        <v>0</v>
      </c>
      <c r="E16">
        <v>0</v>
      </c>
      <c r="F16">
        <v>2</v>
      </c>
      <c r="G16">
        <v>2</v>
      </c>
      <c r="H16" s="6">
        <v>0</v>
      </c>
      <c r="I16">
        <f t="shared" si="0"/>
        <v>4</v>
      </c>
    </row>
    <row r="17" spans="1:9" x14ac:dyDescent="0.45">
      <c r="A17" s="5">
        <v>4</v>
      </c>
      <c r="B17">
        <v>0</v>
      </c>
      <c r="C17">
        <v>0</v>
      </c>
      <c r="D17">
        <v>2</v>
      </c>
      <c r="E17">
        <v>0</v>
      </c>
      <c r="F17">
        <v>0</v>
      </c>
      <c r="G17">
        <v>1</v>
      </c>
      <c r="H17" s="6">
        <v>2</v>
      </c>
      <c r="I17">
        <f t="shared" si="0"/>
        <v>5</v>
      </c>
    </row>
    <row r="18" spans="1:9" x14ac:dyDescent="0.45">
      <c r="A18" s="5">
        <v>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s="6">
        <v>5</v>
      </c>
      <c r="I18">
        <f t="shared" si="0"/>
        <v>5</v>
      </c>
    </row>
    <row r="19" spans="1:9" x14ac:dyDescent="0.45">
      <c r="A19" s="5">
        <v>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6">
        <v>3</v>
      </c>
      <c r="I19">
        <f t="shared" si="0"/>
        <v>3</v>
      </c>
    </row>
    <row r="20" spans="1:9" ht="14.65" thickBot="1" x14ac:dyDescent="0.5">
      <c r="A20" s="7">
        <v>7</v>
      </c>
      <c r="B20" s="8"/>
      <c r="C20" s="8"/>
      <c r="D20" s="8"/>
      <c r="E20" s="8"/>
      <c r="F20" s="8"/>
      <c r="G20" s="8"/>
      <c r="H20" s="9"/>
      <c r="I20">
        <f>SUMIF(B10:H10,"&gt;0",B20:H20)</f>
        <v>0</v>
      </c>
    </row>
    <row r="21" spans="1:9" x14ac:dyDescent="0.45">
      <c r="B21">
        <f>SUMIF(B4:B10,"&gt;0",B14:B20)</f>
        <v>0</v>
      </c>
      <c r="C21">
        <f>SUM(C14:C20)</f>
        <v>5</v>
      </c>
      <c r="D21">
        <f t="shared" ref="D21:H21" si="1">SUM(D14:D20)</f>
        <v>4</v>
      </c>
      <c r="E21">
        <f t="shared" si="1"/>
        <v>5</v>
      </c>
      <c r="F21">
        <f t="shared" si="1"/>
        <v>5</v>
      </c>
      <c r="G21">
        <f t="shared" si="1"/>
        <v>3</v>
      </c>
      <c r="H21">
        <f t="shared" si="1"/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AEAE-DB0E-439E-B0BE-0FCE368B3139}">
  <dimension ref="A2:L25"/>
  <sheetViews>
    <sheetView topLeftCell="B1" workbookViewId="0">
      <selection activeCell="L11" sqref="L11"/>
    </sheetView>
  </sheetViews>
  <sheetFormatPr defaultRowHeight="14.25" x14ac:dyDescent="0.45"/>
  <sheetData>
    <row r="2" spans="1:12" ht="19.5" customHeight="1" x14ac:dyDescent="0.45">
      <c r="A2" s="14" t="s">
        <v>43</v>
      </c>
      <c r="B2" s="14" t="s">
        <v>44</v>
      </c>
      <c r="C2" s="14" t="s">
        <v>45</v>
      </c>
      <c r="D2" s="14" t="s">
        <v>46</v>
      </c>
      <c r="E2" s="14" t="s">
        <v>47</v>
      </c>
      <c r="F2" s="14" t="s">
        <v>48</v>
      </c>
      <c r="G2" s="14" t="s">
        <v>49</v>
      </c>
      <c r="H2" s="15" t="s">
        <v>50</v>
      </c>
    </row>
    <row r="3" spans="1:12" x14ac:dyDescent="0.45">
      <c r="A3" s="13">
        <v>1</v>
      </c>
      <c r="B3" s="13">
        <v>15</v>
      </c>
      <c r="C3" s="13">
        <v>35</v>
      </c>
      <c r="D3" s="13">
        <v>30</v>
      </c>
      <c r="E3" s="13">
        <v>40</v>
      </c>
      <c r="F3" s="13">
        <v>25</v>
      </c>
      <c r="G3" s="13">
        <v>15</v>
      </c>
      <c r="H3" s="13">
        <v>9</v>
      </c>
    </row>
    <row r="4" spans="1:12" x14ac:dyDescent="0.45">
      <c r="A4" s="13">
        <v>2</v>
      </c>
      <c r="B4" s="13">
        <v>30</v>
      </c>
      <c r="C4" s="13">
        <v>20</v>
      </c>
      <c r="D4" s="13">
        <v>40</v>
      </c>
      <c r="E4" s="13">
        <v>35</v>
      </c>
      <c r="F4" s="13">
        <v>35</v>
      </c>
      <c r="G4" s="13">
        <v>8</v>
      </c>
      <c r="H4" s="13">
        <v>11</v>
      </c>
    </row>
    <row r="5" spans="1:12" x14ac:dyDescent="0.45">
      <c r="A5" s="13">
        <v>3</v>
      </c>
      <c r="B5" s="13">
        <v>40</v>
      </c>
      <c r="C5" s="13">
        <v>25</v>
      </c>
      <c r="D5" s="13">
        <v>20</v>
      </c>
      <c r="E5" s="13">
        <v>40</v>
      </c>
      <c r="F5" s="13">
        <v>10</v>
      </c>
      <c r="G5" s="13">
        <v>7</v>
      </c>
      <c r="H5" s="13">
        <v>14</v>
      </c>
    </row>
    <row r="6" spans="1:12" x14ac:dyDescent="0.45">
      <c r="A6" s="13">
        <v>4</v>
      </c>
      <c r="B6" s="13">
        <v>45</v>
      </c>
      <c r="C6" s="13">
        <v>30</v>
      </c>
      <c r="D6" s="13">
        <v>25</v>
      </c>
      <c r="E6" s="13">
        <v>20</v>
      </c>
      <c r="F6" s="13">
        <v>30</v>
      </c>
      <c r="G6" s="13">
        <v>15</v>
      </c>
      <c r="H6" s="13">
        <v>18</v>
      </c>
    </row>
    <row r="7" spans="1:12" x14ac:dyDescent="0.45">
      <c r="A7" s="13">
        <v>5</v>
      </c>
      <c r="B7" s="13">
        <v>25</v>
      </c>
      <c r="C7" s="13">
        <v>40</v>
      </c>
      <c r="D7" s="13">
        <v>40</v>
      </c>
      <c r="E7" s="13">
        <v>20</v>
      </c>
      <c r="F7" s="13">
        <v>35</v>
      </c>
      <c r="G7" s="13">
        <v>18</v>
      </c>
      <c r="H7" s="13">
        <v>14</v>
      </c>
    </row>
    <row r="8" spans="1:12" x14ac:dyDescent="0.45">
      <c r="A8" s="13">
        <v>6</v>
      </c>
      <c r="B8" s="13">
        <v>20</v>
      </c>
      <c r="C8" s="13">
        <v>25</v>
      </c>
      <c r="D8" s="13">
        <v>20</v>
      </c>
      <c r="E8" s="13">
        <v>35</v>
      </c>
      <c r="F8" s="13">
        <v>30</v>
      </c>
      <c r="G8" s="13">
        <v>9</v>
      </c>
      <c r="H8" s="13">
        <v>16</v>
      </c>
    </row>
    <row r="9" spans="1:12" x14ac:dyDescent="0.45">
      <c r="A9" s="13">
        <v>7</v>
      </c>
      <c r="B9" s="13">
        <v>30</v>
      </c>
      <c r="C9" s="13">
        <v>15</v>
      </c>
      <c r="D9" s="13">
        <v>25</v>
      </c>
      <c r="E9" s="13">
        <v>40</v>
      </c>
      <c r="F9" s="13">
        <v>40</v>
      </c>
      <c r="G9" s="13">
        <v>20</v>
      </c>
      <c r="H9" s="13">
        <v>11</v>
      </c>
    </row>
    <row r="11" spans="1:12" x14ac:dyDescent="0.45">
      <c r="B11" s="27" t="s">
        <v>51</v>
      </c>
      <c r="C11" s="27"/>
      <c r="D11" s="27" t="s">
        <v>46</v>
      </c>
      <c r="E11" s="27"/>
      <c r="F11" s="27"/>
      <c r="G11" s="27" t="s">
        <v>52</v>
      </c>
      <c r="H11" s="27"/>
    </row>
    <row r="12" spans="1:12" x14ac:dyDescent="0.45">
      <c r="B12" t="s">
        <v>53</v>
      </c>
      <c r="C12" t="s">
        <v>54</v>
      </c>
      <c r="D12" t="s">
        <v>55</v>
      </c>
      <c r="E12" t="s">
        <v>56</v>
      </c>
      <c r="F12" t="s">
        <v>48</v>
      </c>
      <c r="G12" t="s">
        <v>57</v>
      </c>
      <c r="H12" t="s">
        <v>58</v>
      </c>
    </row>
    <row r="13" spans="1:12" x14ac:dyDescent="0.45"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1</v>
      </c>
    </row>
    <row r="14" spans="1:12" x14ac:dyDescent="0.45">
      <c r="B14" s="16">
        <f>SUM(B13:C13)</f>
        <v>1</v>
      </c>
      <c r="C14" s="16">
        <f>SUM(D13:F13)</f>
        <v>1</v>
      </c>
      <c r="D14" s="16">
        <f>SUM(G13:H13)</f>
        <v>1</v>
      </c>
      <c r="E14" s="16"/>
      <c r="F14" s="16"/>
      <c r="G14" s="16"/>
      <c r="H14" s="16"/>
      <c r="J14">
        <v>1</v>
      </c>
      <c r="K14">
        <v>1</v>
      </c>
      <c r="L14">
        <v>1</v>
      </c>
    </row>
    <row r="15" spans="1:12" x14ac:dyDescent="0.45">
      <c r="C15" t="s">
        <v>59</v>
      </c>
      <c r="D15" t="s">
        <v>60</v>
      </c>
      <c r="E15" t="s">
        <v>61</v>
      </c>
    </row>
    <row r="17" spans="2:5" x14ac:dyDescent="0.45">
      <c r="B17">
        <v>1</v>
      </c>
      <c r="C17">
        <f>SUMPRODUCT(B3:H3,$B$13:$H$13)</f>
        <v>54</v>
      </c>
      <c r="D17">
        <v>75</v>
      </c>
      <c r="E17">
        <f>IF(C17&gt;D17,1,0)</f>
        <v>0</v>
      </c>
    </row>
    <row r="18" spans="2:5" x14ac:dyDescent="0.45">
      <c r="B18">
        <v>2</v>
      </c>
      <c r="C18">
        <f t="shared" ref="C18:C23" si="0">SUMPRODUCT(B4:H4,$B$13:$H$13)</f>
        <v>81</v>
      </c>
      <c r="D18">
        <v>75</v>
      </c>
      <c r="E18">
        <f t="shared" ref="E18:E23" si="1">IF(C18&gt;D18,1,0)</f>
        <v>1</v>
      </c>
    </row>
    <row r="19" spans="2:5" x14ac:dyDescent="0.45">
      <c r="B19">
        <v>3</v>
      </c>
      <c r="C19">
        <f t="shared" si="0"/>
        <v>74</v>
      </c>
      <c r="D19">
        <v>75</v>
      </c>
      <c r="E19">
        <f t="shared" si="1"/>
        <v>0</v>
      </c>
    </row>
    <row r="20" spans="2:5" x14ac:dyDescent="0.45">
      <c r="B20">
        <v>4</v>
      </c>
      <c r="C20">
        <f t="shared" si="0"/>
        <v>88</v>
      </c>
      <c r="D20">
        <v>75</v>
      </c>
      <c r="E20">
        <f t="shared" si="1"/>
        <v>1</v>
      </c>
    </row>
    <row r="21" spans="2:5" x14ac:dyDescent="0.45">
      <c r="B21">
        <v>5</v>
      </c>
      <c r="C21">
        <f t="shared" si="0"/>
        <v>79</v>
      </c>
      <c r="D21">
        <v>75</v>
      </c>
      <c r="E21">
        <f t="shared" si="1"/>
        <v>1</v>
      </c>
    </row>
    <row r="22" spans="2:5" x14ac:dyDescent="0.45">
      <c r="B22">
        <v>6</v>
      </c>
      <c r="C22">
        <f t="shared" si="0"/>
        <v>56</v>
      </c>
      <c r="D22">
        <v>75</v>
      </c>
      <c r="E22">
        <f t="shared" si="1"/>
        <v>0</v>
      </c>
    </row>
    <row r="23" spans="2:5" x14ac:dyDescent="0.45">
      <c r="B23">
        <v>7</v>
      </c>
      <c r="C23">
        <f t="shared" si="0"/>
        <v>66</v>
      </c>
      <c r="D23">
        <v>75</v>
      </c>
      <c r="E23">
        <f t="shared" si="1"/>
        <v>0</v>
      </c>
    </row>
    <row r="25" spans="2:5" x14ac:dyDescent="0.45">
      <c r="D25" t="s">
        <v>62</v>
      </c>
      <c r="E25">
        <f>SUM(E17:E23)</f>
        <v>3</v>
      </c>
    </row>
  </sheetData>
  <mergeCells count="3">
    <mergeCell ref="B11:C11"/>
    <mergeCell ref="D11:F11"/>
    <mergeCell ref="G11:H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7492-2DA3-4B1E-8BE7-EC1ED8027F4F}">
  <dimension ref="A3:L9"/>
  <sheetViews>
    <sheetView workbookViewId="0">
      <selection activeCell="L9" sqref="L9"/>
    </sheetView>
  </sheetViews>
  <sheetFormatPr defaultRowHeight="14.25" x14ac:dyDescent="0.45"/>
  <sheetData>
    <row r="3" spans="1:12" x14ac:dyDescent="0.45">
      <c r="B3" t="s">
        <v>65</v>
      </c>
      <c r="C3" t="s">
        <v>66</v>
      </c>
      <c r="D3" t="s">
        <v>67</v>
      </c>
      <c r="E3" t="s">
        <v>69</v>
      </c>
      <c r="F3" t="s">
        <v>68</v>
      </c>
      <c r="G3" t="s">
        <v>70</v>
      </c>
      <c r="H3" t="s">
        <v>63</v>
      </c>
      <c r="I3" t="s">
        <v>71</v>
      </c>
    </row>
    <row r="4" spans="1:12" x14ac:dyDescent="0.45">
      <c r="A4" t="s">
        <v>63</v>
      </c>
      <c r="B4">
        <v>20</v>
      </c>
      <c r="C4">
        <v>30</v>
      </c>
      <c r="D4">
        <v>1</v>
      </c>
      <c r="E4">
        <v>-1</v>
      </c>
      <c r="F4">
        <v>0</v>
      </c>
      <c r="G4">
        <v>0</v>
      </c>
      <c r="H4">
        <v>0</v>
      </c>
      <c r="I4">
        <v>0</v>
      </c>
      <c r="J4">
        <f>SUMPRODUCT(B4:I4,$B$9:$I$9)</f>
        <v>300</v>
      </c>
      <c r="L4">
        <v>300</v>
      </c>
    </row>
    <row r="5" spans="1:12" x14ac:dyDescent="0.45">
      <c r="A5" t="s">
        <v>4</v>
      </c>
      <c r="B5">
        <v>4</v>
      </c>
      <c r="C5">
        <v>5</v>
      </c>
      <c r="D5">
        <v>0</v>
      </c>
      <c r="E5">
        <v>0</v>
      </c>
      <c r="F5">
        <v>1</v>
      </c>
      <c r="G5">
        <v>-1</v>
      </c>
      <c r="H5">
        <v>0</v>
      </c>
      <c r="I5">
        <v>0</v>
      </c>
      <c r="J5">
        <f>SUMPRODUCT(B5:I5,$B$9:$I$9)</f>
        <v>40</v>
      </c>
      <c r="L5">
        <v>40</v>
      </c>
    </row>
    <row r="6" spans="1:12" x14ac:dyDescent="0.45">
      <c r="A6" t="s">
        <v>64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-1</v>
      </c>
      <c r="J6">
        <f>SUMPRODUCT(B6:I6,$B$9:$I$9)</f>
        <v>8</v>
      </c>
      <c r="L6">
        <v>8</v>
      </c>
    </row>
    <row r="8" spans="1:12" x14ac:dyDescent="0.45">
      <c r="B8" t="s">
        <v>65</v>
      </c>
      <c r="C8" t="s">
        <v>66</v>
      </c>
      <c r="D8" t="s">
        <v>67</v>
      </c>
      <c r="E8" t="s">
        <v>69</v>
      </c>
      <c r="F8" t="s">
        <v>68</v>
      </c>
      <c r="G8" t="s">
        <v>70</v>
      </c>
      <c r="H8" t="s">
        <v>63</v>
      </c>
      <c r="I8" t="s">
        <v>71</v>
      </c>
    </row>
    <row r="9" spans="1:12" x14ac:dyDescent="0.45">
      <c r="B9">
        <v>8</v>
      </c>
      <c r="C9">
        <v>4.6666666666666661</v>
      </c>
      <c r="D9">
        <v>0</v>
      </c>
      <c r="E9">
        <v>0</v>
      </c>
      <c r="F9">
        <v>0</v>
      </c>
      <c r="G9">
        <v>15.333333333333332</v>
      </c>
      <c r="H9">
        <v>0</v>
      </c>
      <c r="I9">
        <v>0</v>
      </c>
      <c r="L9">
        <f>(D9) + ( G9) + ( H9)</f>
        <v>15.333333333333332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0BE6-8D35-4BF5-9064-DEE6FF9473C7}">
  <dimension ref="B5:J21"/>
  <sheetViews>
    <sheetView workbookViewId="0">
      <selection activeCell="N15" sqref="N15"/>
    </sheetView>
  </sheetViews>
  <sheetFormatPr defaultRowHeight="14.25" x14ac:dyDescent="0.45"/>
  <sheetData>
    <row r="5" spans="2:10" ht="14.65" thickBot="1" x14ac:dyDescent="0.5">
      <c r="C5">
        <v>6</v>
      </c>
      <c r="D5">
        <v>7</v>
      </c>
      <c r="E5">
        <v>8</v>
      </c>
      <c r="F5">
        <v>9</v>
      </c>
      <c r="G5">
        <v>10</v>
      </c>
      <c r="I5" t="s">
        <v>72</v>
      </c>
      <c r="J5" t="s">
        <v>73</v>
      </c>
    </row>
    <row r="6" spans="2:10" x14ac:dyDescent="0.45">
      <c r="B6">
        <v>6</v>
      </c>
      <c r="C6" s="17">
        <v>30</v>
      </c>
      <c r="D6" s="18">
        <v>30</v>
      </c>
      <c r="E6" s="18">
        <v>30</v>
      </c>
      <c r="F6" s="18">
        <v>30</v>
      </c>
      <c r="G6" s="19">
        <v>30</v>
      </c>
      <c r="I6">
        <f>MAX(C6:G6)</f>
        <v>30</v>
      </c>
      <c r="J6" s="1">
        <f>MIN(C6:G6)</f>
        <v>30</v>
      </c>
    </row>
    <row r="7" spans="2:10" x14ac:dyDescent="0.45">
      <c r="B7">
        <v>7</v>
      </c>
      <c r="C7" s="20">
        <v>10</v>
      </c>
      <c r="D7" s="21">
        <v>35</v>
      </c>
      <c r="E7" s="21">
        <v>35</v>
      </c>
      <c r="F7" s="21">
        <v>35</v>
      </c>
      <c r="G7" s="22">
        <v>35</v>
      </c>
      <c r="I7">
        <f t="shared" ref="I7:I10" si="0">MAX(C7:G7)</f>
        <v>35</v>
      </c>
      <c r="J7">
        <f t="shared" ref="J7:J10" si="1">MIN(C7:G7)</f>
        <v>10</v>
      </c>
    </row>
    <row r="8" spans="2:10" x14ac:dyDescent="0.45">
      <c r="B8">
        <v>8</v>
      </c>
      <c r="C8" s="20">
        <v>-10</v>
      </c>
      <c r="D8" s="21">
        <v>15</v>
      </c>
      <c r="E8" s="21">
        <v>40</v>
      </c>
      <c r="F8" s="21">
        <v>40</v>
      </c>
      <c r="G8" s="22">
        <v>40</v>
      </c>
      <c r="I8">
        <f t="shared" si="0"/>
        <v>40</v>
      </c>
      <c r="J8">
        <f t="shared" si="1"/>
        <v>-10</v>
      </c>
    </row>
    <row r="9" spans="2:10" x14ac:dyDescent="0.45">
      <c r="B9">
        <v>9</v>
      </c>
      <c r="C9" s="20">
        <v>-30</v>
      </c>
      <c r="D9" s="21">
        <v>-5</v>
      </c>
      <c r="E9" s="21">
        <v>20</v>
      </c>
      <c r="F9" s="21">
        <v>45</v>
      </c>
      <c r="G9" s="22">
        <v>45</v>
      </c>
      <c r="I9">
        <f t="shared" si="0"/>
        <v>45</v>
      </c>
      <c r="J9">
        <f t="shared" si="1"/>
        <v>-30</v>
      </c>
    </row>
    <row r="10" spans="2:10" ht="14.65" thickBot="1" x14ac:dyDescent="0.5">
      <c r="B10">
        <v>10</v>
      </c>
      <c r="C10" s="23">
        <v>-50</v>
      </c>
      <c r="D10" s="24">
        <v>-25</v>
      </c>
      <c r="E10" s="24">
        <v>0</v>
      </c>
      <c r="F10" s="24">
        <v>25</v>
      </c>
      <c r="G10" s="25">
        <v>50</v>
      </c>
      <c r="I10" s="1">
        <f t="shared" si="0"/>
        <v>50</v>
      </c>
      <c r="J10">
        <f t="shared" si="1"/>
        <v>-50</v>
      </c>
    </row>
    <row r="11" spans="2:10" x14ac:dyDescent="0.45">
      <c r="I11">
        <f>MAX(I6:I10)</f>
        <v>50</v>
      </c>
      <c r="J11">
        <f>MAX(J6:J10)</f>
        <v>30</v>
      </c>
    </row>
    <row r="16" spans="2:10" ht="14.65" thickBot="1" x14ac:dyDescent="0.5">
      <c r="C16">
        <v>6</v>
      </c>
      <c r="D16">
        <v>7</v>
      </c>
      <c r="E16">
        <v>8</v>
      </c>
      <c r="F16">
        <v>9</v>
      </c>
      <c r="G16">
        <v>10</v>
      </c>
    </row>
    <row r="17" spans="2:9" ht="14.65" thickBot="1" x14ac:dyDescent="0.5">
      <c r="B17">
        <v>6</v>
      </c>
      <c r="C17" s="17">
        <f>MAX(C$6:C$10)-C6</f>
        <v>0</v>
      </c>
      <c r="D17" s="17">
        <f t="shared" ref="D17:G17" si="2">MAX(D$6:D$10)-D6</f>
        <v>5</v>
      </c>
      <c r="E17" s="17">
        <f t="shared" si="2"/>
        <v>10</v>
      </c>
      <c r="F17" s="17">
        <f t="shared" si="2"/>
        <v>15</v>
      </c>
      <c r="G17" s="17">
        <f t="shared" si="2"/>
        <v>20</v>
      </c>
      <c r="I17" s="26">
        <f>MAX(C17:G17)</f>
        <v>20</v>
      </c>
    </row>
    <row r="18" spans="2:9" ht="14.65" thickBot="1" x14ac:dyDescent="0.5">
      <c r="B18">
        <v>7</v>
      </c>
      <c r="C18" s="17">
        <f t="shared" ref="C18:G21" si="3">MAX(C$6:C$10)-C7</f>
        <v>20</v>
      </c>
      <c r="D18" s="17">
        <f t="shared" si="3"/>
        <v>0</v>
      </c>
      <c r="E18" s="17">
        <f t="shared" si="3"/>
        <v>5</v>
      </c>
      <c r="F18" s="17">
        <f t="shared" si="3"/>
        <v>10</v>
      </c>
      <c r="G18" s="17">
        <f t="shared" si="3"/>
        <v>15</v>
      </c>
      <c r="I18" s="26">
        <f t="shared" ref="I18:I21" si="4">MAX(C18:G18)</f>
        <v>20</v>
      </c>
    </row>
    <row r="19" spans="2:9" ht="14.65" thickBot="1" x14ac:dyDescent="0.5">
      <c r="B19">
        <v>8</v>
      </c>
      <c r="C19" s="17">
        <f t="shared" si="3"/>
        <v>40</v>
      </c>
      <c r="D19" s="17">
        <f t="shared" si="3"/>
        <v>20</v>
      </c>
      <c r="E19" s="17">
        <f t="shared" si="3"/>
        <v>0</v>
      </c>
      <c r="F19" s="17">
        <f t="shared" si="3"/>
        <v>5</v>
      </c>
      <c r="G19" s="17">
        <f t="shared" si="3"/>
        <v>10</v>
      </c>
      <c r="I19" s="21">
        <f t="shared" si="4"/>
        <v>40</v>
      </c>
    </row>
    <row r="20" spans="2:9" ht="14.65" thickBot="1" x14ac:dyDescent="0.5">
      <c r="B20">
        <v>9</v>
      </c>
      <c r="C20" s="17">
        <f t="shared" si="3"/>
        <v>60</v>
      </c>
      <c r="D20" s="17">
        <f t="shared" si="3"/>
        <v>40</v>
      </c>
      <c r="E20" s="17">
        <f t="shared" si="3"/>
        <v>20</v>
      </c>
      <c r="F20" s="17">
        <f t="shared" si="3"/>
        <v>0</v>
      </c>
      <c r="G20" s="17">
        <f t="shared" si="3"/>
        <v>5</v>
      </c>
      <c r="I20" s="21">
        <f t="shared" si="4"/>
        <v>60</v>
      </c>
    </row>
    <row r="21" spans="2:9" x14ac:dyDescent="0.45">
      <c r="B21">
        <v>10</v>
      </c>
      <c r="C21" s="17">
        <f t="shared" si="3"/>
        <v>80</v>
      </c>
      <c r="D21" s="17">
        <f t="shared" si="3"/>
        <v>60</v>
      </c>
      <c r="E21" s="17">
        <f t="shared" si="3"/>
        <v>40</v>
      </c>
      <c r="F21" s="17">
        <f t="shared" si="3"/>
        <v>20</v>
      </c>
      <c r="G21" s="17">
        <f t="shared" si="3"/>
        <v>0</v>
      </c>
      <c r="I21" s="21">
        <f t="shared" si="4"/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43AA-5429-4227-BB9A-8DFFAA8D2E9B}">
  <dimension ref="A1:H13"/>
  <sheetViews>
    <sheetView workbookViewId="0">
      <selection activeCell="F13" sqref="F13"/>
    </sheetView>
  </sheetViews>
  <sheetFormatPr defaultRowHeight="14.25" x14ac:dyDescent="0.45"/>
  <sheetData>
    <row r="1" spans="1:8" ht="27.75" x14ac:dyDescent="0.45">
      <c r="A1" s="28" t="s">
        <v>74</v>
      </c>
      <c r="B1" s="28" t="s">
        <v>75</v>
      </c>
      <c r="C1" s="28" t="s">
        <v>76</v>
      </c>
      <c r="D1" s="28" t="s">
        <v>77</v>
      </c>
      <c r="E1" s="28" t="s">
        <v>78</v>
      </c>
    </row>
    <row r="2" spans="1:8" x14ac:dyDescent="0.45">
      <c r="A2" s="28" t="s">
        <v>0</v>
      </c>
      <c r="B2" s="29">
        <v>32</v>
      </c>
      <c r="C2" s="29">
        <v>35</v>
      </c>
      <c r="D2" s="29">
        <v>15</v>
      </c>
      <c r="E2" s="29">
        <v>27</v>
      </c>
    </row>
    <row r="3" spans="1:8" x14ac:dyDescent="0.45">
      <c r="A3" s="28" t="s">
        <v>1</v>
      </c>
      <c r="B3" s="29">
        <v>38</v>
      </c>
      <c r="C3" s="29">
        <v>40</v>
      </c>
      <c r="D3" s="29">
        <v>18</v>
      </c>
      <c r="E3" s="29">
        <v>35</v>
      </c>
    </row>
    <row r="4" spans="1:8" x14ac:dyDescent="0.45">
      <c r="A4" s="28" t="s">
        <v>2</v>
      </c>
      <c r="B4" s="29">
        <v>41</v>
      </c>
      <c r="C4" s="29">
        <v>42</v>
      </c>
      <c r="D4" s="29">
        <v>25</v>
      </c>
      <c r="E4" s="29">
        <v>38</v>
      </c>
    </row>
    <row r="5" spans="1:8" x14ac:dyDescent="0.45">
      <c r="A5" s="28" t="s">
        <v>79</v>
      </c>
      <c r="B5" s="29">
        <v>45</v>
      </c>
      <c r="C5" s="29">
        <v>45</v>
      </c>
      <c r="D5" s="29">
        <v>30</v>
      </c>
      <c r="E5" s="29">
        <v>42</v>
      </c>
    </row>
    <row r="7" spans="1:8" ht="27.75" x14ac:dyDescent="0.45">
      <c r="B7" s="28" t="s">
        <v>75</v>
      </c>
      <c r="C7" s="28" t="s">
        <v>76</v>
      </c>
      <c r="D7" s="28" t="s">
        <v>77</v>
      </c>
      <c r="E7" s="28" t="s">
        <v>78</v>
      </c>
    </row>
    <row r="8" spans="1:8" x14ac:dyDescent="0.45">
      <c r="A8" s="28" t="s">
        <v>0</v>
      </c>
      <c r="B8">
        <v>0</v>
      </c>
      <c r="C8">
        <v>0</v>
      </c>
      <c r="D8">
        <v>0</v>
      </c>
      <c r="E8">
        <v>1</v>
      </c>
      <c r="F8">
        <f>SUM(B8:E8)</f>
        <v>1</v>
      </c>
      <c r="H8">
        <v>1</v>
      </c>
    </row>
    <row r="9" spans="1:8" x14ac:dyDescent="0.45">
      <c r="A9" s="28" t="s">
        <v>1</v>
      </c>
      <c r="B9">
        <v>0</v>
      </c>
      <c r="C9">
        <v>0</v>
      </c>
      <c r="D9">
        <v>1</v>
      </c>
      <c r="E9">
        <v>0</v>
      </c>
      <c r="F9">
        <f t="shared" ref="F9:F11" si="0">SUM(B9:E9)</f>
        <v>1</v>
      </c>
      <c r="H9">
        <v>1</v>
      </c>
    </row>
    <row r="10" spans="1:8" x14ac:dyDescent="0.45">
      <c r="A10" s="28" t="s">
        <v>80</v>
      </c>
      <c r="B10">
        <v>1</v>
      </c>
      <c r="C10">
        <v>0</v>
      </c>
      <c r="D10">
        <v>0</v>
      </c>
      <c r="E10">
        <v>0</v>
      </c>
      <c r="F10">
        <f t="shared" si="0"/>
        <v>1</v>
      </c>
      <c r="H10">
        <v>1</v>
      </c>
    </row>
    <row r="11" spans="1:8" x14ac:dyDescent="0.45">
      <c r="A11" s="28" t="s">
        <v>79</v>
      </c>
      <c r="B11">
        <v>0</v>
      </c>
      <c r="C11">
        <v>1</v>
      </c>
      <c r="D11">
        <v>0</v>
      </c>
      <c r="E11">
        <v>0</v>
      </c>
      <c r="F11">
        <f t="shared" si="0"/>
        <v>1</v>
      </c>
      <c r="H11">
        <v>1</v>
      </c>
    </row>
    <row r="13" spans="1:8" x14ac:dyDescent="0.45">
      <c r="B13">
        <f>SUM(B8:B11)</f>
        <v>1</v>
      </c>
      <c r="C13">
        <f t="shared" ref="C13:E13" si="1">SUM(C8:C11)</f>
        <v>1</v>
      </c>
      <c r="D13">
        <f t="shared" si="1"/>
        <v>1</v>
      </c>
      <c r="E13">
        <f t="shared" si="1"/>
        <v>1</v>
      </c>
      <c r="F13">
        <f>SUMPRODUCT(B2:E5,B8:E11)</f>
        <v>131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B02B-6F45-4F20-867C-2C223998C286}">
  <dimension ref="A1:T25"/>
  <sheetViews>
    <sheetView topLeftCell="C2" workbookViewId="0">
      <selection activeCell="S25" sqref="S25"/>
    </sheetView>
  </sheetViews>
  <sheetFormatPr defaultRowHeight="14.25" x14ac:dyDescent="0.45"/>
  <sheetData>
    <row r="1" spans="1:20" ht="41.65" x14ac:dyDescent="0.45">
      <c r="A1" s="30" t="s">
        <v>81</v>
      </c>
      <c r="B1" s="30" t="s">
        <v>82</v>
      </c>
      <c r="C1" s="30" t="s">
        <v>83</v>
      </c>
      <c r="D1" s="30"/>
      <c r="E1" s="30" t="s">
        <v>84</v>
      </c>
    </row>
    <row r="2" spans="1:20" x14ac:dyDescent="0.45">
      <c r="A2" s="31">
        <v>1</v>
      </c>
      <c r="B2" s="31">
        <v>2</v>
      </c>
      <c r="C2" s="31">
        <v>0</v>
      </c>
      <c r="D2" s="31"/>
      <c r="E2" s="31">
        <v>500</v>
      </c>
    </row>
    <row r="3" spans="1:20" x14ac:dyDescent="0.45">
      <c r="A3" s="31">
        <v>1</v>
      </c>
      <c r="B3" s="31">
        <v>5</v>
      </c>
      <c r="C3" s="31">
        <v>0</v>
      </c>
      <c r="D3" s="31"/>
      <c r="E3" s="31">
        <v>300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</row>
    <row r="4" spans="1:20" x14ac:dyDescent="0.45">
      <c r="A4" s="31">
        <v>1</v>
      </c>
      <c r="B4" s="31">
        <v>6</v>
      </c>
      <c r="C4" s="31">
        <v>0</v>
      </c>
      <c r="D4" s="31"/>
      <c r="E4" s="31">
        <v>600</v>
      </c>
      <c r="I4">
        <v>1</v>
      </c>
      <c r="J4">
        <v>0</v>
      </c>
      <c r="K4">
        <v>500</v>
      </c>
      <c r="L4">
        <v>0</v>
      </c>
      <c r="M4">
        <v>0</v>
      </c>
      <c r="N4">
        <v>300</v>
      </c>
      <c r="O4">
        <v>600</v>
      </c>
      <c r="P4">
        <v>0</v>
      </c>
      <c r="Q4">
        <v>0</v>
      </c>
      <c r="R4">
        <v>0</v>
      </c>
      <c r="S4">
        <v>0</v>
      </c>
    </row>
    <row r="5" spans="1:20" x14ac:dyDescent="0.45">
      <c r="A5" s="31">
        <v>2</v>
      </c>
      <c r="B5" s="31">
        <v>3</v>
      </c>
      <c r="C5" s="31">
        <v>0</v>
      </c>
      <c r="D5" s="31"/>
      <c r="E5" s="31">
        <v>300</v>
      </c>
      <c r="I5">
        <v>2</v>
      </c>
      <c r="J5">
        <v>0</v>
      </c>
      <c r="K5">
        <v>0</v>
      </c>
      <c r="L5">
        <v>300</v>
      </c>
      <c r="M5">
        <v>400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20" x14ac:dyDescent="0.45">
      <c r="A6" s="31">
        <v>2</v>
      </c>
      <c r="B6" s="31">
        <v>4</v>
      </c>
      <c r="C6" s="31">
        <v>0</v>
      </c>
      <c r="D6" s="31"/>
      <c r="E6" s="31">
        <v>400</v>
      </c>
      <c r="I6">
        <v>3</v>
      </c>
      <c r="J6">
        <v>0</v>
      </c>
      <c r="K6">
        <v>0</v>
      </c>
      <c r="L6">
        <v>0</v>
      </c>
      <c r="M6">
        <v>150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0" x14ac:dyDescent="0.45">
      <c r="A7" s="31">
        <v>3</v>
      </c>
      <c r="B7" s="31">
        <v>4</v>
      </c>
      <c r="C7" s="31">
        <v>0</v>
      </c>
      <c r="D7" s="31"/>
      <c r="E7" s="31">
        <v>150</v>
      </c>
      <c r="I7">
        <v>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400</v>
      </c>
      <c r="R7">
        <v>0</v>
      </c>
      <c r="S7">
        <v>600</v>
      </c>
    </row>
    <row r="8" spans="1:20" x14ac:dyDescent="0.45">
      <c r="A8" s="31">
        <v>4</v>
      </c>
      <c r="B8" s="31">
        <v>8</v>
      </c>
      <c r="C8" s="31">
        <v>0</v>
      </c>
      <c r="D8" s="31"/>
      <c r="E8" s="31">
        <v>400</v>
      </c>
      <c r="I8">
        <v>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400</v>
      </c>
      <c r="Q8">
        <v>0</v>
      </c>
      <c r="R8">
        <v>0</v>
      </c>
      <c r="S8">
        <v>0</v>
      </c>
    </row>
    <row r="9" spans="1:20" x14ac:dyDescent="0.45">
      <c r="A9" s="31">
        <v>4</v>
      </c>
      <c r="B9" s="31" t="s">
        <v>85</v>
      </c>
      <c r="C9" s="31">
        <v>0</v>
      </c>
      <c r="D9" s="31"/>
      <c r="E9" s="31">
        <v>600</v>
      </c>
      <c r="I9">
        <v>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300</v>
      </c>
      <c r="Q9">
        <v>0</v>
      </c>
      <c r="R9">
        <v>500</v>
      </c>
      <c r="S9">
        <v>0</v>
      </c>
    </row>
    <row r="10" spans="1:20" x14ac:dyDescent="0.45">
      <c r="A10" s="31">
        <v>5</v>
      </c>
      <c r="B10" s="31">
        <v>7</v>
      </c>
      <c r="C10" s="31">
        <v>0</v>
      </c>
      <c r="D10" s="31"/>
      <c r="E10" s="31">
        <v>400</v>
      </c>
      <c r="I10">
        <v>7</v>
      </c>
      <c r="J10">
        <v>0</v>
      </c>
      <c r="K10">
        <v>0</v>
      </c>
      <c r="L10">
        <v>0</v>
      </c>
      <c r="M10">
        <v>0</v>
      </c>
      <c r="N10">
        <v>0</v>
      </c>
      <c r="O10">
        <v>200</v>
      </c>
      <c r="P10">
        <v>0</v>
      </c>
      <c r="Q10">
        <v>0</v>
      </c>
      <c r="R10">
        <v>350</v>
      </c>
      <c r="S10">
        <v>0</v>
      </c>
    </row>
    <row r="11" spans="1:20" x14ac:dyDescent="0.45">
      <c r="A11" s="31">
        <v>6</v>
      </c>
      <c r="B11" s="31">
        <v>7</v>
      </c>
      <c r="C11" s="31">
        <v>0</v>
      </c>
      <c r="D11" s="31"/>
      <c r="E11" s="31">
        <v>300</v>
      </c>
      <c r="I11">
        <v>8</v>
      </c>
      <c r="J11">
        <v>0</v>
      </c>
      <c r="K11">
        <v>0</v>
      </c>
      <c r="L11">
        <v>0</v>
      </c>
      <c r="M11">
        <v>200</v>
      </c>
      <c r="N11">
        <v>0</v>
      </c>
      <c r="O11">
        <v>0</v>
      </c>
      <c r="P11">
        <v>0</v>
      </c>
      <c r="Q11">
        <v>0</v>
      </c>
      <c r="R11">
        <v>300</v>
      </c>
      <c r="S11">
        <v>450</v>
      </c>
    </row>
    <row r="12" spans="1:20" x14ac:dyDescent="0.45">
      <c r="A12" s="31">
        <v>6</v>
      </c>
      <c r="B12" s="31">
        <v>9</v>
      </c>
      <c r="C12" s="31">
        <v>0</v>
      </c>
      <c r="D12" s="31"/>
      <c r="E12" s="31">
        <v>500</v>
      </c>
      <c r="I12">
        <v>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300</v>
      </c>
      <c r="R12">
        <v>0</v>
      </c>
      <c r="S12">
        <v>500</v>
      </c>
    </row>
    <row r="13" spans="1:20" x14ac:dyDescent="0.45">
      <c r="A13" s="31">
        <v>7</v>
      </c>
      <c r="B13" s="31">
        <v>6</v>
      </c>
      <c r="C13" s="31">
        <v>0</v>
      </c>
      <c r="D13" s="31"/>
      <c r="E13" s="31">
        <v>200</v>
      </c>
    </row>
    <row r="14" spans="1:20" x14ac:dyDescent="0.45">
      <c r="A14" s="31">
        <v>7</v>
      </c>
      <c r="B14" s="31">
        <v>9</v>
      </c>
      <c r="C14" s="31">
        <v>0</v>
      </c>
      <c r="D14" s="31"/>
      <c r="E14" s="31">
        <v>350</v>
      </c>
    </row>
    <row r="15" spans="1:20" x14ac:dyDescent="0.45">
      <c r="A15" s="31">
        <v>8</v>
      </c>
      <c r="B15" s="31">
        <v>4</v>
      </c>
      <c r="C15" s="31">
        <v>0</v>
      </c>
      <c r="D15" s="31"/>
      <c r="E15" s="31">
        <v>200</v>
      </c>
      <c r="J15">
        <v>1</v>
      </c>
      <c r="K15">
        <v>2</v>
      </c>
      <c r="L15">
        <v>3</v>
      </c>
      <c r="M15">
        <v>4</v>
      </c>
      <c r="N15">
        <v>5</v>
      </c>
      <c r="O15">
        <v>6</v>
      </c>
      <c r="P15">
        <v>7</v>
      </c>
      <c r="Q15">
        <v>8</v>
      </c>
      <c r="R15">
        <v>9</v>
      </c>
      <c r="S15">
        <v>10</v>
      </c>
    </row>
    <row r="16" spans="1:20" x14ac:dyDescent="0.45">
      <c r="A16" s="31">
        <v>8</v>
      </c>
      <c r="B16" s="31">
        <v>9</v>
      </c>
      <c r="C16" s="31">
        <v>0</v>
      </c>
      <c r="D16" s="31"/>
      <c r="E16" s="31">
        <v>300</v>
      </c>
      <c r="I16">
        <v>1</v>
      </c>
      <c r="J16">
        <v>0</v>
      </c>
      <c r="K16">
        <v>500</v>
      </c>
      <c r="L16">
        <v>0</v>
      </c>
      <c r="M16">
        <v>0</v>
      </c>
      <c r="N16">
        <v>300</v>
      </c>
      <c r="O16">
        <v>500</v>
      </c>
      <c r="P16">
        <v>0</v>
      </c>
      <c r="Q16">
        <v>0</v>
      </c>
      <c r="R16">
        <v>0</v>
      </c>
      <c r="S16">
        <v>0</v>
      </c>
      <c r="T16">
        <f>SUMIF(J4:S4,"&gt;0",J16:S16)</f>
        <v>1300</v>
      </c>
    </row>
    <row r="17" spans="1:20" x14ac:dyDescent="0.45">
      <c r="A17" s="31">
        <v>8</v>
      </c>
      <c r="B17" s="31" t="s">
        <v>85</v>
      </c>
      <c r="C17" s="31">
        <v>0</v>
      </c>
      <c r="D17" s="31"/>
      <c r="E17" s="31">
        <v>450</v>
      </c>
      <c r="I17">
        <v>2</v>
      </c>
      <c r="J17">
        <v>0</v>
      </c>
      <c r="K17">
        <v>0</v>
      </c>
      <c r="L17">
        <v>100</v>
      </c>
      <c r="M17">
        <v>400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f t="shared" ref="T17:T24" si="0">SUMIF(J5:S5,"&gt;0",J17:S17)</f>
        <v>500</v>
      </c>
    </row>
    <row r="18" spans="1:20" x14ac:dyDescent="0.45">
      <c r="A18" s="31">
        <v>9</v>
      </c>
      <c r="B18" s="31">
        <v>8</v>
      </c>
      <c r="C18" s="31">
        <v>0</v>
      </c>
      <c r="D18" s="31"/>
      <c r="E18" s="31">
        <v>300</v>
      </c>
      <c r="I18">
        <v>3</v>
      </c>
      <c r="J18">
        <v>0</v>
      </c>
      <c r="K18">
        <v>0</v>
      </c>
      <c r="L18">
        <v>0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f t="shared" si="0"/>
        <v>100</v>
      </c>
    </row>
    <row r="19" spans="1:20" x14ac:dyDescent="0.45">
      <c r="A19" s="31">
        <v>9</v>
      </c>
      <c r="B19" s="31" t="s">
        <v>85</v>
      </c>
      <c r="C19" s="31">
        <v>0</v>
      </c>
      <c r="D19" s="31"/>
      <c r="E19" s="31">
        <v>500</v>
      </c>
      <c r="I19">
        <v>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600</v>
      </c>
      <c r="T19">
        <f t="shared" si="0"/>
        <v>600</v>
      </c>
    </row>
    <row r="20" spans="1:20" ht="13.15" customHeight="1" x14ac:dyDescent="0.45">
      <c r="A20" s="30" t="s">
        <v>85</v>
      </c>
      <c r="B20" s="30" t="s">
        <v>86</v>
      </c>
      <c r="C20" s="30">
        <v>0</v>
      </c>
      <c r="D20" s="31"/>
      <c r="E20" s="30">
        <v>99999</v>
      </c>
      <c r="I20">
        <v>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300</v>
      </c>
      <c r="Q20">
        <v>0</v>
      </c>
      <c r="R20">
        <v>0</v>
      </c>
      <c r="S20">
        <v>0</v>
      </c>
      <c r="T20">
        <f t="shared" si="0"/>
        <v>300</v>
      </c>
    </row>
    <row r="21" spans="1:20" x14ac:dyDescent="0.45">
      <c r="I21">
        <v>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500</v>
      </c>
      <c r="S21">
        <v>0</v>
      </c>
      <c r="T21">
        <f t="shared" si="0"/>
        <v>500</v>
      </c>
    </row>
    <row r="22" spans="1:20" x14ac:dyDescent="0.45">
      <c r="I22">
        <v>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300</v>
      </c>
      <c r="S22">
        <v>0</v>
      </c>
      <c r="T22">
        <f t="shared" si="0"/>
        <v>300</v>
      </c>
    </row>
    <row r="23" spans="1:20" x14ac:dyDescent="0.45">
      <c r="I23">
        <v>8</v>
      </c>
      <c r="J23">
        <v>0</v>
      </c>
      <c r="K23">
        <v>0</v>
      </c>
      <c r="L23">
        <v>0</v>
      </c>
      <c r="M23">
        <v>100</v>
      </c>
      <c r="N23">
        <v>0</v>
      </c>
      <c r="O23">
        <v>0</v>
      </c>
      <c r="P23">
        <v>0</v>
      </c>
      <c r="Q23">
        <v>0</v>
      </c>
      <c r="R23">
        <v>0</v>
      </c>
      <c r="S23">
        <v>200</v>
      </c>
      <c r="T23">
        <f t="shared" si="0"/>
        <v>300</v>
      </c>
    </row>
    <row r="24" spans="1:20" x14ac:dyDescent="0.45">
      <c r="I24">
        <v>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300</v>
      </c>
      <c r="R24">
        <v>0</v>
      </c>
      <c r="S24">
        <v>500</v>
      </c>
      <c r="T24">
        <f t="shared" si="0"/>
        <v>800</v>
      </c>
    </row>
    <row r="25" spans="1:20" x14ac:dyDescent="0.45">
      <c r="J25">
        <f>SUMIF(J4:J12,"&gt;0",J16:J24)</f>
        <v>0</v>
      </c>
      <c r="K25">
        <f t="shared" ref="K25:R25" si="1">SUMIF(K4:K12,"&gt;0",K16:K24)</f>
        <v>500</v>
      </c>
      <c r="L25">
        <f t="shared" si="1"/>
        <v>100</v>
      </c>
      <c r="M25">
        <f t="shared" si="1"/>
        <v>600</v>
      </c>
      <c r="N25">
        <f t="shared" si="1"/>
        <v>300</v>
      </c>
      <c r="O25">
        <f t="shared" si="1"/>
        <v>500</v>
      </c>
      <c r="P25">
        <f t="shared" si="1"/>
        <v>300</v>
      </c>
      <c r="Q25">
        <f t="shared" si="1"/>
        <v>300</v>
      </c>
      <c r="R25">
        <f t="shared" si="1"/>
        <v>800</v>
      </c>
      <c r="S25">
        <f>SUM(S16:S24)</f>
        <v>1300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B330-200C-4AC1-BE50-2A3C7A47B53A}">
  <dimension ref="A1:J17"/>
  <sheetViews>
    <sheetView tabSelected="1" workbookViewId="0">
      <selection activeCell="C12" sqref="C12"/>
    </sheetView>
  </sheetViews>
  <sheetFormatPr defaultRowHeight="14.25" x14ac:dyDescent="0.45"/>
  <sheetData>
    <row r="1" spans="1:10" ht="41.65" x14ac:dyDescent="0.45">
      <c r="A1" s="30" t="s">
        <v>87</v>
      </c>
      <c r="B1" s="30" t="s">
        <v>88</v>
      </c>
      <c r="C1" s="30" t="s">
        <v>89</v>
      </c>
      <c r="D1" s="30" t="s">
        <v>90</v>
      </c>
      <c r="E1" s="30" t="s">
        <v>91</v>
      </c>
      <c r="F1" s="30" t="s">
        <v>92</v>
      </c>
    </row>
    <row r="2" spans="1:10" ht="14.65" customHeight="1" x14ac:dyDescent="0.45">
      <c r="A2" s="30" t="s">
        <v>93</v>
      </c>
      <c r="B2" s="32">
        <v>0</v>
      </c>
      <c r="C2" s="32">
        <v>5</v>
      </c>
      <c r="D2" s="32">
        <v>7</v>
      </c>
      <c r="E2" s="32">
        <v>8</v>
      </c>
      <c r="F2" s="32">
        <v>2500</v>
      </c>
    </row>
    <row r="3" spans="1:10" x14ac:dyDescent="0.45">
      <c r="A3" s="30" t="s">
        <v>94</v>
      </c>
      <c r="B3" s="32">
        <v>0</v>
      </c>
      <c r="C3" s="32">
        <v>10</v>
      </c>
      <c r="D3" s="32">
        <v>8</v>
      </c>
      <c r="E3" s="32">
        <v>6</v>
      </c>
      <c r="F3" s="32">
        <v>2500</v>
      </c>
    </row>
    <row r="4" spans="1:10" x14ac:dyDescent="0.45">
      <c r="A4" s="30" t="s">
        <v>95</v>
      </c>
      <c r="B4" s="32">
        <v>350000</v>
      </c>
      <c r="C4" s="32">
        <v>9</v>
      </c>
      <c r="D4" s="32">
        <v>4</v>
      </c>
      <c r="E4" s="32">
        <v>3</v>
      </c>
      <c r="F4" s="32">
        <v>10000</v>
      </c>
    </row>
    <row r="5" spans="1:10" x14ac:dyDescent="0.45">
      <c r="A5" s="30" t="s">
        <v>96</v>
      </c>
      <c r="B5" s="32">
        <v>200000</v>
      </c>
      <c r="C5" s="32">
        <v>12</v>
      </c>
      <c r="D5" s="32">
        <v>6</v>
      </c>
      <c r="E5" s="32">
        <v>2</v>
      </c>
      <c r="F5" s="32">
        <v>10000</v>
      </c>
    </row>
    <row r="6" spans="1:10" x14ac:dyDescent="0.45">
      <c r="A6" s="30" t="s">
        <v>97</v>
      </c>
      <c r="B6" s="32">
        <v>480000</v>
      </c>
      <c r="C6" s="32">
        <v>4</v>
      </c>
      <c r="D6" s="32">
        <v>10</v>
      </c>
      <c r="E6" s="32">
        <v>11</v>
      </c>
      <c r="F6" s="32">
        <v>10000</v>
      </c>
    </row>
    <row r="7" spans="1:10" x14ac:dyDescent="0.45">
      <c r="A7" s="30" t="s">
        <v>98</v>
      </c>
      <c r="B7" s="32"/>
      <c r="C7" s="32">
        <v>3000</v>
      </c>
      <c r="D7" s="32">
        <v>8000</v>
      </c>
      <c r="E7" s="32">
        <v>9000</v>
      </c>
      <c r="F7" s="32"/>
    </row>
    <row r="11" spans="1:10" ht="27.75" x14ac:dyDescent="0.45">
      <c r="A11" s="30" t="s">
        <v>87</v>
      </c>
      <c r="B11" s="30" t="s">
        <v>100</v>
      </c>
      <c r="C11" s="30" t="s">
        <v>89</v>
      </c>
      <c r="D11" s="30" t="s">
        <v>90</v>
      </c>
      <c r="E11" s="30" t="s">
        <v>91</v>
      </c>
      <c r="F11" s="30" t="s">
        <v>99</v>
      </c>
    </row>
    <row r="12" spans="1:10" ht="27.75" x14ac:dyDescent="0.45">
      <c r="A12" s="30" t="s">
        <v>93</v>
      </c>
      <c r="B12" s="32">
        <v>1</v>
      </c>
      <c r="C12" s="32">
        <v>2500</v>
      </c>
      <c r="D12" s="32">
        <v>0</v>
      </c>
      <c r="E12" s="32">
        <v>0</v>
      </c>
      <c r="F12" s="32">
        <f>SUM(C12:E12)</f>
        <v>2500</v>
      </c>
      <c r="G12">
        <f>B12*F2</f>
        <v>2500</v>
      </c>
      <c r="I12" t="s">
        <v>101</v>
      </c>
      <c r="J12" t="s">
        <v>102</v>
      </c>
    </row>
    <row r="13" spans="1:10" x14ac:dyDescent="0.45">
      <c r="A13" s="30" t="s">
        <v>94</v>
      </c>
      <c r="B13" s="32">
        <v>0</v>
      </c>
      <c r="C13" s="32">
        <v>0</v>
      </c>
      <c r="D13" s="32">
        <v>0</v>
      </c>
      <c r="E13" s="32">
        <v>0</v>
      </c>
      <c r="F13" s="32">
        <f t="shared" ref="F13:F16" si="0">SUM(C13:E13)</f>
        <v>0</v>
      </c>
      <c r="G13">
        <f t="shared" ref="G13:G16" si="1">B13*F3</f>
        <v>0</v>
      </c>
      <c r="I13">
        <f>SUM(C17:E17)</f>
        <v>20000</v>
      </c>
      <c r="J13">
        <f>SUM(F12:F16)</f>
        <v>20000</v>
      </c>
    </row>
    <row r="14" spans="1:10" x14ac:dyDescent="0.45">
      <c r="A14" s="30" t="s">
        <v>95</v>
      </c>
      <c r="B14" s="32">
        <v>1</v>
      </c>
      <c r="C14" s="32">
        <v>499.99999999999955</v>
      </c>
      <c r="D14" s="32">
        <v>8000</v>
      </c>
      <c r="E14" s="32">
        <v>0</v>
      </c>
      <c r="F14" s="32">
        <f t="shared" si="0"/>
        <v>8500</v>
      </c>
      <c r="G14">
        <f t="shared" si="1"/>
        <v>10000</v>
      </c>
    </row>
    <row r="15" spans="1:10" x14ac:dyDescent="0.45">
      <c r="A15" s="30" t="s">
        <v>96</v>
      </c>
      <c r="B15" s="32">
        <v>1</v>
      </c>
      <c r="C15" s="32">
        <v>0</v>
      </c>
      <c r="D15" s="32">
        <v>0</v>
      </c>
      <c r="E15" s="32">
        <v>9000</v>
      </c>
      <c r="F15" s="32">
        <f t="shared" si="0"/>
        <v>9000</v>
      </c>
      <c r="G15">
        <f t="shared" si="1"/>
        <v>10000</v>
      </c>
    </row>
    <row r="16" spans="1:10" x14ac:dyDescent="0.45">
      <c r="A16" s="30" t="s">
        <v>97</v>
      </c>
      <c r="B16" s="32">
        <v>0</v>
      </c>
      <c r="C16" s="32">
        <v>4.5474735088646412E-13</v>
      </c>
      <c r="D16" s="32">
        <v>0</v>
      </c>
      <c r="E16" s="32">
        <v>0</v>
      </c>
      <c r="F16" s="32">
        <f t="shared" si="0"/>
        <v>4.5474735088646412E-13</v>
      </c>
      <c r="G16">
        <f t="shared" si="1"/>
        <v>0</v>
      </c>
    </row>
    <row r="17" spans="1:6" x14ac:dyDescent="0.45">
      <c r="A17" s="30" t="s">
        <v>98</v>
      </c>
      <c r="B17" s="32"/>
      <c r="C17" s="32">
        <f>SUM(C12:C16)</f>
        <v>3000</v>
      </c>
      <c r="D17" s="32">
        <f t="shared" ref="D17:E17" si="2">SUM(D12:D16)</f>
        <v>8000</v>
      </c>
      <c r="E17" s="32">
        <f t="shared" si="2"/>
        <v>9000</v>
      </c>
      <c r="F17" s="32">
        <f>SUMPRODUCT(C2:E6,C12:E16)+SUMPRODUCT(B2:B6,B12:B16)</f>
        <v>617000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KUNAL</dc:creator>
  <cp:lastModifiedBy>KISHORE KUNAL</cp:lastModifiedBy>
  <dcterms:created xsi:type="dcterms:W3CDTF">2026-02-17T14:27:44Z</dcterms:created>
  <dcterms:modified xsi:type="dcterms:W3CDTF">2026-02-27T22:49:54Z</dcterms:modified>
</cp:coreProperties>
</file>