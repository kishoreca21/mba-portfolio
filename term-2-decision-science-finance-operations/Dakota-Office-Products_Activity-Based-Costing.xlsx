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oilworkplace-my.sharepoint.com/personal/goyalr_indianoil_in/Documents/MBA Docs/Term 2/Managerial Accounting/Case Studies/Dakota/"/>
    </mc:Choice>
  </mc:AlternateContent>
  <xr:revisionPtr revIDLastSave="0" documentId="8_{48E55B61-49BF-EA40-94BA-259697031CD9}" xr6:coauthVersionLast="47" xr6:coauthVersionMax="47" xr10:uidLastSave="{00000000-0000-0000-0000-000000000000}"/>
  <bookViews>
    <workbookView xWindow="0" yWindow="660" windowWidth="29400" windowHeight="18460" xr2:uid="{9EACA93F-138A-3743-BC18-C387D45172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B43" i="1"/>
  <c r="B41" i="1"/>
  <c r="B40" i="1"/>
  <c r="B39" i="1"/>
  <c r="B38" i="1"/>
  <c r="F6" i="1"/>
  <c r="E7" i="1"/>
  <c r="E6" i="1"/>
  <c r="C54" i="1"/>
  <c r="B54" i="1"/>
  <c r="E10" i="1"/>
  <c r="F10" i="1" s="1"/>
  <c r="E43" i="1" s="1"/>
  <c r="G43" i="1" s="1"/>
  <c r="E9" i="1"/>
  <c r="F9" i="1" s="1"/>
  <c r="E8" i="1"/>
  <c r="F8" i="1" s="1"/>
  <c r="E41" i="1" s="1"/>
  <c r="E40" i="1"/>
  <c r="G40" i="1" s="1"/>
  <c r="E5" i="1"/>
  <c r="F5" i="1" s="1"/>
  <c r="E39" i="1" s="1"/>
  <c r="E4" i="1"/>
  <c r="E3" i="1"/>
  <c r="F3" i="1" s="1"/>
  <c r="E38" i="1" s="1"/>
  <c r="G38" i="1" s="1"/>
  <c r="E42" i="1" l="1"/>
  <c r="G42" i="1" s="1"/>
  <c r="F39" i="1"/>
  <c r="G39" i="1"/>
  <c r="G44" i="1" s="1"/>
  <c r="C53" i="1" s="1"/>
  <c r="C55" i="1" s="1"/>
  <c r="C57" i="1" s="1"/>
  <c r="G41" i="1"/>
  <c r="F41" i="1"/>
  <c r="F40" i="1"/>
  <c r="F42" i="1"/>
  <c r="F43" i="1"/>
  <c r="F38" i="1"/>
  <c r="F44" i="1" l="1"/>
  <c r="B53" i="1" s="1"/>
  <c r="B55" i="1" s="1"/>
  <c r="B57" i="1" s="1"/>
</calcChain>
</file>

<file path=xl/sharedStrings.xml><?xml version="1.0" encoding="utf-8"?>
<sst xmlns="http://schemas.openxmlformats.org/spreadsheetml/2006/main" count="89" uniqueCount="68">
  <si>
    <t>Activities Involved</t>
  </si>
  <si>
    <t>Sr. No</t>
  </si>
  <si>
    <t>Main Activity</t>
  </si>
  <si>
    <t>Sub Activities</t>
  </si>
  <si>
    <t>Carton Handling</t>
  </si>
  <si>
    <t>Warehouse Personal (90%)</t>
  </si>
  <si>
    <t>Warehhouse Expense</t>
  </si>
  <si>
    <t>Freight</t>
  </si>
  <si>
    <t>Freight (Commercial)</t>
  </si>
  <si>
    <t>Delivery Truck Expenses</t>
  </si>
  <si>
    <t xml:space="preserve">Delivery Truck Expenses (Desk Top) </t>
  </si>
  <si>
    <t>Order Entry Expense</t>
  </si>
  <si>
    <t>Manual order setup</t>
  </si>
  <si>
    <t>Cost</t>
  </si>
  <si>
    <t>Manual order setup (20%)</t>
  </si>
  <si>
    <t>Manual order line entry (75%)</t>
  </si>
  <si>
    <t>EDI / Internet order validation (5%)</t>
  </si>
  <si>
    <t>Activity</t>
  </si>
  <si>
    <t>Cost Driver</t>
  </si>
  <si>
    <t>Carton handling</t>
  </si>
  <si>
    <t>Number of cartons</t>
  </si>
  <si>
    <t>Commercial freight</t>
  </si>
  <si>
    <t>Number of cartons shipped</t>
  </si>
  <si>
    <t>Desktop delivery</t>
  </si>
  <si>
    <t>Number of deliveries</t>
  </si>
  <si>
    <t>Number of manual orders</t>
  </si>
  <si>
    <t>Manual line entry</t>
  </si>
  <si>
    <t>Number of order lines</t>
  </si>
  <si>
    <t>EDI validation</t>
  </si>
  <si>
    <t>Number of EDI orders</t>
  </si>
  <si>
    <t>Cost Drivers</t>
  </si>
  <si>
    <t>Total Cost</t>
  </si>
  <si>
    <t>Cost Per Activity</t>
  </si>
  <si>
    <t>Total Cost for Activity</t>
  </si>
  <si>
    <t>Cost Per Unit</t>
  </si>
  <si>
    <t>Total Cost of Activity</t>
  </si>
  <si>
    <t>Driver Volume</t>
  </si>
  <si>
    <t>Cost per Unit Volume</t>
  </si>
  <si>
    <t>Customer A</t>
  </si>
  <si>
    <t>Customer B</t>
  </si>
  <si>
    <t>Customer Data</t>
  </si>
  <si>
    <t>Metric</t>
  </si>
  <si>
    <t>Total Sales</t>
  </si>
  <si>
    <t>Cost of Items Purchased</t>
  </si>
  <si>
    <t>Total Cartons Ordered</t>
  </si>
  <si>
    <t>Cartons Shipped via Commercial Freight</t>
  </si>
  <si>
    <t>Number of Desktop Deliveries</t>
  </si>
  <si>
    <t>Number of Manual Orders</t>
  </si>
  <si>
    <t>Number of EDI Orders</t>
  </si>
  <si>
    <t>Total Order Lines (Manual)</t>
  </si>
  <si>
    <t>Average Accounts Receivable</t>
  </si>
  <si>
    <t>Payment Timing</t>
  </si>
  <si>
    <t>Generally within 30 days</t>
  </si>
  <si>
    <t>90 or more days</t>
  </si>
  <si>
    <t>Overall markup</t>
  </si>
  <si>
    <t>Interest Calculation</t>
  </si>
  <si>
    <t>Customer</t>
  </si>
  <si>
    <t>Interest Cost</t>
  </si>
  <si>
    <t>A</t>
  </si>
  <si>
    <t>B</t>
  </si>
  <si>
    <t>Avg. Account Receivables</t>
  </si>
  <si>
    <t>Total</t>
  </si>
  <si>
    <t>Profitability</t>
  </si>
  <si>
    <t>Total Activity Cost</t>
  </si>
  <si>
    <t>Gross Margin</t>
  </si>
  <si>
    <t>Net Profit (ABC Method)</t>
  </si>
  <si>
    <t>Net Profit (Current Method)</t>
  </si>
  <si>
    <t>Warehouse Personal (10%)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</si>
</sst>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_);[Red]\(&quot;$&quot;#,##0\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1F1F1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10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10" fontId="1" fillId="0" borderId="0" xfId="0" applyNumberFormat="1" applyFont="1" applyBorder="1"/>
    <xf numFmtId="0" fontId="2" fillId="0" borderId="1" xfId="0" applyFont="1" applyBorder="1" applyAlignment="1">
      <alignment vertical="center" wrapText="1" readingOrder="1"/>
    </xf>
    <xf numFmtId="167" fontId="2" fillId="0" borderId="1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vertical="center" wrapText="1" readingOrder="1"/>
    </xf>
    <xf numFmtId="0" fontId="2" fillId="0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982B-A77B-3B4D-A844-73B66F319E25}">
  <dimension ref="A1:G58"/>
  <sheetViews>
    <sheetView tabSelected="1" zoomScale="210" workbookViewId="0">
      <selection activeCell="C16" sqref="C16"/>
    </sheetView>
  </sheetViews>
  <sheetFormatPr baseColWidth="10" defaultRowHeight="16" x14ac:dyDescent="0.2"/>
  <cols>
    <col min="1" max="1" width="24.1640625" style="4" bestFit="1" customWidth="1"/>
    <col min="2" max="2" width="26" style="12" bestFit="1" customWidth="1"/>
    <col min="3" max="3" width="29.5" style="12" bestFit="1" customWidth="1"/>
    <col min="4" max="4" width="14.5" style="4" bestFit="1" customWidth="1"/>
    <col min="5" max="5" width="18.1640625" style="4" bestFit="1" customWidth="1"/>
    <col min="6" max="6" width="18.33203125" style="4" bestFit="1" customWidth="1"/>
    <col min="7" max="7" width="10.6640625" style="4" bestFit="1" customWidth="1"/>
    <col min="8" max="16384" width="10.83203125" style="4"/>
  </cols>
  <sheetData>
    <row r="1" spans="1:6" x14ac:dyDescent="0.2">
      <c r="A1" s="1" t="s">
        <v>0</v>
      </c>
      <c r="B1" s="2"/>
      <c r="C1" s="2"/>
      <c r="D1" s="2"/>
      <c r="E1" s="2"/>
      <c r="F1" s="3"/>
    </row>
    <row r="2" spans="1:6" x14ac:dyDescent="0.2">
      <c r="A2" s="5" t="s">
        <v>1</v>
      </c>
      <c r="B2" s="6" t="s">
        <v>2</v>
      </c>
      <c r="C2" s="6" t="s">
        <v>3</v>
      </c>
      <c r="D2" s="5" t="s">
        <v>13</v>
      </c>
      <c r="E2" s="5" t="s">
        <v>32</v>
      </c>
      <c r="F2" s="5" t="s">
        <v>33</v>
      </c>
    </row>
    <row r="3" spans="1:6" x14ac:dyDescent="0.2">
      <c r="A3" s="7">
        <v>1</v>
      </c>
      <c r="B3" s="8" t="s">
        <v>4</v>
      </c>
      <c r="C3" s="6" t="s">
        <v>5</v>
      </c>
      <c r="D3" s="9">
        <v>2400000</v>
      </c>
      <c r="E3" s="5">
        <f>D3*0.9</f>
        <v>2160000</v>
      </c>
      <c r="F3" s="7">
        <f>SUM(E3:E4)</f>
        <v>4160000</v>
      </c>
    </row>
    <row r="4" spans="1:6" x14ac:dyDescent="0.2">
      <c r="A4" s="7"/>
      <c r="B4" s="8"/>
      <c r="C4" s="6" t="s">
        <v>6</v>
      </c>
      <c r="D4" s="9">
        <v>2000000</v>
      </c>
      <c r="E4" s="9">
        <f>D4</f>
        <v>2000000</v>
      </c>
      <c r="F4" s="7"/>
    </row>
    <row r="5" spans="1:6" x14ac:dyDescent="0.2">
      <c r="A5" s="5">
        <v>2</v>
      </c>
      <c r="B5" s="6" t="s">
        <v>8</v>
      </c>
      <c r="C5" s="6" t="s">
        <v>7</v>
      </c>
      <c r="D5" s="9">
        <v>450000</v>
      </c>
      <c r="E5" s="9">
        <f>D5</f>
        <v>450000</v>
      </c>
      <c r="F5" s="9">
        <f>E5</f>
        <v>450000</v>
      </c>
    </row>
    <row r="6" spans="1:6" ht="34" customHeight="1" x14ac:dyDescent="0.2">
      <c r="A6" s="24">
        <v>3</v>
      </c>
      <c r="B6" s="22" t="s">
        <v>10</v>
      </c>
      <c r="C6" s="6" t="s">
        <v>67</v>
      </c>
      <c r="D6" s="9">
        <v>2400000</v>
      </c>
      <c r="E6" s="9">
        <f>D6*0.1</f>
        <v>240000</v>
      </c>
      <c r="F6" s="26">
        <f>SUM(E6:E7)</f>
        <v>440000</v>
      </c>
    </row>
    <row r="7" spans="1:6" ht="34" customHeight="1" x14ac:dyDescent="0.2">
      <c r="A7" s="25"/>
      <c r="B7" s="23"/>
      <c r="C7" s="6" t="s">
        <v>9</v>
      </c>
      <c r="D7" s="9">
        <v>200000</v>
      </c>
      <c r="E7" s="9">
        <f>D7</f>
        <v>200000</v>
      </c>
      <c r="F7" s="25"/>
    </row>
    <row r="8" spans="1:6" x14ac:dyDescent="0.2">
      <c r="A8" s="7">
        <v>4</v>
      </c>
      <c r="B8" s="8" t="s">
        <v>11</v>
      </c>
      <c r="C8" s="10" t="s">
        <v>14</v>
      </c>
      <c r="D8" s="11">
        <v>800000</v>
      </c>
      <c r="E8" s="5">
        <f>D8*0.2</f>
        <v>160000</v>
      </c>
      <c r="F8" s="5">
        <f>E8</f>
        <v>160000</v>
      </c>
    </row>
    <row r="9" spans="1:6" x14ac:dyDescent="0.2">
      <c r="A9" s="7"/>
      <c r="B9" s="8"/>
      <c r="C9" s="10" t="s">
        <v>15</v>
      </c>
      <c r="D9" s="7"/>
      <c r="E9" s="5">
        <f>D8*0.75</f>
        <v>600000</v>
      </c>
      <c r="F9" s="5">
        <f>E9</f>
        <v>600000</v>
      </c>
    </row>
    <row r="10" spans="1:6" x14ac:dyDescent="0.2">
      <c r="A10" s="7"/>
      <c r="B10" s="8"/>
      <c r="C10" s="10" t="s">
        <v>16</v>
      </c>
      <c r="D10" s="7"/>
      <c r="E10" s="5">
        <f>D8*0.05</f>
        <v>40000</v>
      </c>
      <c r="F10" s="5">
        <f>E10</f>
        <v>40000</v>
      </c>
    </row>
    <row r="13" spans="1:6" x14ac:dyDescent="0.2">
      <c r="A13" s="13" t="s">
        <v>30</v>
      </c>
      <c r="B13" s="13"/>
      <c r="C13" s="13"/>
    </row>
    <row r="14" spans="1:6" x14ac:dyDescent="0.2">
      <c r="A14" s="5" t="s">
        <v>1</v>
      </c>
      <c r="B14" s="10" t="s">
        <v>17</v>
      </c>
      <c r="C14" s="10" t="s">
        <v>18</v>
      </c>
    </row>
    <row r="15" spans="1:6" x14ac:dyDescent="0.2">
      <c r="A15" s="5">
        <v>1</v>
      </c>
      <c r="B15" s="10" t="s">
        <v>19</v>
      </c>
      <c r="C15" s="10" t="s">
        <v>20</v>
      </c>
    </row>
    <row r="16" spans="1:6" x14ac:dyDescent="0.2">
      <c r="A16" s="5">
        <v>2</v>
      </c>
      <c r="B16" s="10" t="s">
        <v>21</v>
      </c>
      <c r="C16" s="10" t="s">
        <v>22</v>
      </c>
    </row>
    <row r="17" spans="1:4" x14ac:dyDescent="0.2">
      <c r="A17" s="5">
        <v>3</v>
      </c>
      <c r="B17" s="10" t="s">
        <v>23</v>
      </c>
      <c r="C17" s="10" t="s">
        <v>24</v>
      </c>
    </row>
    <row r="18" spans="1:4" x14ac:dyDescent="0.2">
      <c r="A18" s="5">
        <v>4</v>
      </c>
      <c r="B18" s="10" t="s">
        <v>12</v>
      </c>
      <c r="C18" s="10" t="s">
        <v>25</v>
      </c>
    </row>
    <row r="19" spans="1:4" x14ac:dyDescent="0.2">
      <c r="A19" s="5">
        <v>5</v>
      </c>
      <c r="B19" s="10" t="s">
        <v>26</v>
      </c>
      <c r="C19" s="10" t="s">
        <v>27</v>
      </c>
    </row>
    <row r="20" spans="1:4" x14ac:dyDescent="0.2">
      <c r="A20" s="5">
        <v>6</v>
      </c>
      <c r="B20" s="10" t="s">
        <v>28</v>
      </c>
      <c r="C20" s="10" t="s">
        <v>29</v>
      </c>
    </row>
    <row r="22" spans="1:4" s="14" customFormat="1" x14ac:dyDescent="0.2">
      <c r="A22" s="31" t="s">
        <v>40</v>
      </c>
      <c r="B22" s="31"/>
      <c r="C22" s="31"/>
      <c r="D22" s="31"/>
    </row>
    <row r="23" spans="1:4" s="14" customFormat="1" ht="17" x14ac:dyDescent="0.2">
      <c r="A23" s="5" t="s">
        <v>1</v>
      </c>
      <c r="B23" s="32" t="s">
        <v>41</v>
      </c>
      <c r="C23" s="33" t="s">
        <v>38</v>
      </c>
      <c r="D23" s="33" t="s">
        <v>39</v>
      </c>
    </row>
    <row r="24" spans="1:4" s="14" customFormat="1" ht="17" x14ac:dyDescent="0.2">
      <c r="A24" s="5">
        <v>1</v>
      </c>
      <c r="B24" s="18" t="s">
        <v>42</v>
      </c>
      <c r="C24" s="19">
        <v>103000</v>
      </c>
      <c r="D24" s="19">
        <v>104000</v>
      </c>
    </row>
    <row r="25" spans="1:4" s="14" customFormat="1" ht="17" x14ac:dyDescent="0.2">
      <c r="A25" s="5">
        <v>2</v>
      </c>
      <c r="B25" s="18" t="s">
        <v>43</v>
      </c>
      <c r="C25" s="19">
        <v>85000</v>
      </c>
      <c r="D25" s="19">
        <v>85000</v>
      </c>
    </row>
    <row r="26" spans="1:4" s="14" customFormat="1" ht="17" x14ac:dyDescent="0.2">
      <c r="A26" s="5">
        <v>3</v>
      </c>
      <c r="B26" s="18" t="s">
        <v>44</v>
      </c>
      <c r="C26" s="20">
        <v>200</v>
      </c>
      <c r="D26" s="20">
        <v>200</v>
      </c>
    </row>
    <row r="27" spans="1:4" s="14" customFormat="1" ht="34" x14ac:dyDescent="0.2">
      <c r="A27" s="5">
        <v>4</v>
      </c>
      <c r="B27" s="18" t="s">
        <v>45</v>
      </c>
      <c r="C27" s="20">
        <v>200</v>
      </c>
      <c r="D27" s="20">
        <v>150</v>
      </c>
    </row>
    <row r="28" spans="1:4" s="14" customFormat="1" ht="17" x14ac:dyDescent="0.2">
      <c r="A28" s="5">
        <v>5</v>
      </c>
      <c r="B28" s="18" t="s">
        <v>46</v>
      </c>
      <c r="C28" s="20">
        <v>0</v>
      </c>
      <c r="D28" s="20">
        <v>25</v>
      </c>
    </row>
    <row r="29" spans="1:4" s="14" customFormat="1" ht="17" x14ac:dyDescent="0.2">
      <c r="A29" s="5">
        <v>6</v>
      </c>
      <c r="B29" s="18" t="s">
        <v>47</v>
      </c>
      <c r="C29" s="20">
        <v>6</v>
      </c>
      <c r="D29" s="20">
        <v>100</v>
      </c>
    </row>
    <row r="30" spans="1:4" s="14" customFormat="1" ht="17" x14ac:dyDescent="0.2">
      <c r="A30" s="5">
        <v>7</v>
      </c>
      <c r="B30" s="18" t="s">
        <v>48</v>
      </c>
      <c r="C30" s="20">
        <v>6</v>
      </c>
      <c r="D30" s="20">
        <v>0</v>
      </c>
    </row>
    <row r="31" spans="1:4" s="14" customFormat="1" ht="17" x14ac:dyDescent="0.2">
      <c r="A31" s="5">
        <v>8</v>
      </c>
      <c r="B31" s="18" t="s">
        <v>49</v>
      </c>
      <c r="C31" s="20">
        <v>60</v>
      </c>
      <c r="D31" s="20">
        <v>180</v>
      </c>
    </row>
    <row r="32" spans="1:4" s="14" customFormat="1" ht="17" x14ac:dyDescent="0.2">
      <c r="A32" s="5">
        <v>9</v>
      </c>
      <c r="B32" s="18" t="s">
        <v>50</v>
      </c>
      <c r="C32" s="19">
        <v>9000</v>
      </c>
      <c r="D32" s="19">
        <v>30000</v>
      </c>
    </row>
    <row r="33" spans="1:7" s="14" customFormat="1" ht="17" x14ac:dyDescent="0.2">
      <c r="A33" s="5">
        <v>10</v>
      </c>
      <c r="B33" s="18" t="s">
        <v>51</v>
      </c>
      <c r="C33" s="20" t="s">
        <v>52</v>
      </c>
      <c r="D33" s="20" t="s">
        <v>53</v>
      </c>
    </row>
    <row r="34" spans="1:7" s="14" customFormat="1" ht="17" x14ac:dyDescent="0.2">
      <c r="A34" s="5">
        <v>11</v>
      </c>
      <c r="B34" s="18" t="s">
        <v>54</v>
      </c>
      <c r="C34" s="15">
        <v>0.21199999999999999</v>
      </c>
      <c r="D34" s="15">
        <v>0.224</v>
      </c>
    </row>
    <row r="35" spans="1:7" s="14" customFormat="1" x14ac:dyDescent="0.2">
      <c r="A35" s="16"/>
      <c r="B35" s="21"/>
      <c r="C35" s="17"/>
      <c r="D35" s="17"/>
    </row>
    <row r="36" spans="1:7" x14ac:dyDescent="0.2">
      <c r="A36" s="13" t="s">
        <v>34</v>
      </c>
      <c r="B36" s="13"/>
      <c r="C36" s="13"/>
      <c r="D36" s="13"/>
      <c r="E36" s="13"/>
      <c r="F36" s="13"/>
      <c r="G36" s="13"/>
    </row>
    <row r="37" spans="1:7" x14ac:dyDescent="0.2">
      <c r="A37" s="5" t="s">
        <v>17</v>
      </c>
      <c r="B37" s="5" t="s">
        <v>35</v>
      </c>
      <c r="C37" s="5" t="s">
        <v>18</v>
      </c>
      <c r="D37" s="5" t="s">
        <v>36</v>
      </c>
      <c r="E37" s="5" t="s">
        <v>37</v>
      </c>
      <c r="F37" s="5" t="s">
        <v>38</v>
      </c>
      <c r="G37" s="5" t="s">
        <v>39</v>
      </c>
    </row>
    <row r="38" spans="1:7" x14ac:dyDescent="0.2">
      <c r="A38" s="10" t="s">
        <v>19</v>
      </c>
      <c r="B38" s="5">
        <f>F3</f>
        <v>4160000</v>
      </c>
      <c r="C38" s="10" t="s">
        <v>20</v>
      </c>
      <c r="D38" s="9">
        <v>80000</v>
      </c>
      <c r="E38" s="5">
        <f>B38/D38</f>
        <v>52</v>
      </c>
      <c r="F38" s="5">
        <f>E38*C26</f>
        <v>10400</v>
      </c>
      <c r="G38" s="5">
        <f>E38*D26</f>
        <v>10400</v>
      </c>
    </row>
    <row r="39" spans="1:7" x14ac:dyDescent="0.2">
      <c r="A39" s="10" t="s">
        <v>21</v>
      </c>
      <c r="B39" s="9">
        <f>F5</f>
        <v>450000</v>
      </c>
      <c r="C39" s="10" t="s">
        <v>22</v>
      </c>
      <c r="D39" s="5">
        <v>75000</v>
      </c>
      <c r="E39" s="5">
        <f t="shared" ref="E39:E43" si="0">B39/D39</f>
        <v>6</v>
      </c>
      <c r="F39" s="5">
        <f>E39*C27</f>
        <v>1200</v>
      </c>
      <c r="G39" s="5">
        <f>E39*D27</f>
        <v>900</v>
      </c>
    </row>
    <row r="40" spans="1:7" x14ac:dyDescent="0.2">
      <c r="A40" s="10" t="s">
        <v>23</v>
      </c>
      <c r="B40" s="9">
        <f>F6</f>
        <v>440000</v>
      </c>
      <c r="C40" s="10" t="s">
        <v>24</v>
      </c>
      <c r="D40" s="5">
        <v>2000</v>
      </c>
      <c r="E40" s="5">
        <f t="shared" si="0"/>
        <v>220</v>
      </c>
      <c r="F40" s="5">
        <f>E40*C28</f>
        <v>0</v>
      </c>
      <c r="G40" s="5">
        <f>E40*D28</f>
        <v>5500</v>
      </c>
    </row>
    <row r="41" spans="1:7" x14ac:dyDescent="0.2">
      <c r="A41" s="10" t="s">
        <v>12</v>
      </c>
      <c r="B41" s="5">
        <f>F8</f>
        <v>160000</v>
      </c>
      <c r="C41" s="10" t="s">
        <v>25</v>
      </c>
      <c r="D41" s="5">
        <v>16000</v>
      </c>
      <c r="E41" s="5">
        <f t="shared" si="0"/>
        <v>10</v>
      </c>
      <c r="F41" s="5">
        <f>E41*C29</f>
        <v>60</v>
      </c>
      <c r="G41" s="5">
        <f>E41*D29</f>
        <v>1000</v>
      </c>
    </row>
    <row r="42" spans="1:7" x14ac:dyDescent="0.2">
      <c r="A42" s="10" t="s">
        <v>26</v>
      </c>
      <c r="B42" s="5">
        <f t="shared" ref="B42:B43" si="1">F9</f>
        <v>600000</v>
      </c>
      <c r="C42" s="10" t="s">
        <v>27</v>
      </c>
      <c r="D42" s="5">
        <v>150000</v>
      </c>
      <c r="E42" s="5">
        <f t="shared" si="0"/>
        <v>4</v>
      </c>
      <c r="F42" s="5">
        <f>E42*C31</f>
        <v>240</v>
      </c>
      <c r="G42" s="5">
        <f>E42*D31</f>
        <v>720</v>
      </c>
    </row>
    <row r="43" spans="1:7" x14ac:dyDescent="0.2">
      <c r="A43" s="10" t="s">
        <v>28</v>
      </c>
      <c r="B43" s="5">
        <f t="shared" si="1"/>
        <v>40000</v>
      </c>
      <c r="C43" s="10" t="s">
        <v>29</v>
      </c>
      <c r="D43" s="5">
        <v>8000</v>
      </c>
      <c r="E43" s="5">
        <f t="shared" si="0"/>
        <v>5</v>
      </c>
      <c r="F43" s="5">
        <f>E43*C30</f>
        <v>30</v>
      </c>
      <c r="G43" s="5">
        <f>E43*D30</f>
        <v>0</v>
      </c>
    </row>
    <row r="44" spans="1:7" x14ac:dyDescent="0.2">
      <c r="A44" s="30" t="s">
        <v>61</v>
      </c>
      <c r="B44" s="30"/>
      <c r="C44" s="30"/>
      <c r="D44" s="30"/>
      <c r="E44" s="30"/>
      <c r="F44" s="27">
        <f>SUM(F38:F43)</f>
        <v>11930</v>
      </c>
      <c r="G44" s="27">
        <f>SUM(G38:G43)</f>
        <v>18520</v>
      </c>
    </row>
    <row r="46" spans="1:7" x14ac:dyDescent="0.2">
      <c r="A46" s="13" t="s">
        <v>55</v>
      </c>
      <c r="B46" s="13"/>
      <c r="C46" s="13"/>
    </row>
    <row r="47" spans="1:7" x14ac:dyDescent="0.2">
      <c r="A47" s="5" t="s">
        <v>56</v>
      </c>
      <c r="B47" s="5" t="s">
        <v>60</v>
      </c>
      <c r="C47" s="5" t="s">
        <v>57</v>
      </c>
    </row>
    <row r="48" spans="1:7" x14ac:dyDescent="0.2">
      <c r="A48" s="5" t="s">
        <v>58</v>
      </c>
      <c r="B48" s="5">
        <v>9000</v>
      </c>
      <c r="C48" s="5">
        <v>900</v>
      </c>
    </row>
    <row r="49" spans="1:3" x14ac:dyDescent="0.2">
      <c r="A49" s="5" t="s">
        <v>59</v>
      </c>
      <c r="B49" s="5">
        <v>30000</v>
      </c>
      <c r="C49" s="5">
        <v>3000</v>
      </c>
    </row>
    <row r="51" spans="1:3" x14ac:dyDescent="0.2">
      <c r="A51" s="13" t="s">
        <v>62</v>
      </c>
      <c r="B51" s="13"/>
      <c r="C51" s="13"/>
    </row>
    <row r="52" spans="1:3" x14ac:dyDescent="0.2">
      <c r="A52" s="5"/>
      <c r="B52" s="5" t="s">
        <v>38</v>
      </c>
      <c r="C52" s="5" t="s">
        <v>39</v>
      </c>
    </row>
    <row r="53" spans="1:3" x14ac:dyDescent="0.2">
      <c r="A53" s="5" t="s">
        <v>63</v>
      </c>
      <c r="B53" s="5">
        <f>F44</f>
        <v>11930</v>
      </c>
      <c r="C53" s="5">
        <f>G44</f>
        <v>18520</v>
      </c>
    </row>
    <row r="54" spans="1:3" x14ac:dyDescent="0.2">
      <c r="A54" s="5" t="s">
        <v>57</v>
      </c>
      <c r="B54" s="5">
        <f>C48</f>
        <v>900</v>
      </c>
      <c r="C54" s="5">
        <f>C49</f>
        <v>3000</v>
      </c>
    </row>
    <row r="55" spans="1:3" x14ac:dyDescent="0.2">
      <c r="A55" s="5" t="s">
        <v>31</v>
      </c>
      <c r="B55" s="5">
        <f>SUM(B53:B54)</f>
        <v>12830</v>
      </c>
      <c r="C55" s="5">
        <f>SUM(C53:C54)</f>
        <v>21520</v>
      </c>
    </row>
    <row r="56" spans="1:3" x14ac:dyDescent="0.2">
      <c r="A56" s="5" t="s">
        <v>64</v>
      </c>
      <c r="B56" s="5">
        <v>18000</v>
      </c>
      <c r="C56" s="5">
        <v>19000</v>
      </c>
    </row>
    <row r="57" spans="1:3" x14ac:dyDescent="0.2">
      <c r="A57" s="29" t="s">
        <v>65</v>
      </c>
      <c r="B57" s="27">
        <f>B56-B55</f>
        <v>5170</v>
      </c>
      <c r="C57" s="28">
        <f>C56-C55</f>
        <v>-2520</v>
      </c>
    </row>
    <row r="58" spans="1:3" x14ac:dyDescent="0.2">
      <c r="A58" s="29" t="s">
        <v>66</v>
      </c>
      <c r="B58" s="27">
        <v>5250</v>
      </c>
      <c r="C58" s="27">
        <v>6250</v>
      </c>
    </row>
  </sheetData>
  <mergeCells count="16">
    <mergeCell ref="A46:C46"/>
    <mergeCell ref="A44:E44"/>
    <mergeCell ref="A51:C51"/>
    <mergeCell ref="B6:B7"/>
    <mergeCell ref="A6:A7"/>
    <mergeCell ref="A13:C13"/>
    <mergeCell ref="F3:F4"/>
    <mergeCell ref="A1:F1"/>
    <mergeCell ref="A36:G36"/>
    <mergeCell ref="A22:D22"/>
    <mergeCell ref="F6:F7"/>
    <mergeCell ref="B3:B4"/>
    <mergeCell ref="A3:A4"/>
    <mergeCell ref="B8:B10"/>
    <mergeCell ref="A8:A10"/>
    <mergeCell ref="D8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Rahul(गोयल, राहुल)</dc:creator>
  <cp:lastModifiedBy>Goyal, Rahul(गोयल, राहुल)</cp:lastModifiedBy>
  <dcterms:created xsi:type="dcterms:W3CDTF">2025-12-22T17:25:07Z</dcterms:created>
  <dcterms:modified xsi:type="dcterms:W3CDTF">2025-12-22T18:03:28Z</dcterms:modified>
</cp:coreProperties>
</file>