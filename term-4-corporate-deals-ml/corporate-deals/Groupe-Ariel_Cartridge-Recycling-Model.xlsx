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ecision" sheetId="2" state="visible" r:id="rId4"/>
    <sheet name="CashFlow_MXN" sheetId="3" state="visible" r:id="rId5"/>
    <sheet name="RouteA_Peso" sheetId="4" state="visible" r:id="rId6"/>
    <sheet name="RouteB_Euro" sheetId="5" state="visible" r:id="rId7"/>
    <sheet name="Sav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<sst xmlns="http://schemas.openxmlformats.org/spreadsheetml/2006/main" count="155" uniqueCount="112">
  <si>
    <t xml:space="preserve">Groupe Ariel — Cartridge Recycling (Mexico)</t>
  </si>
  <si>
    <t xml:space="preserve">Cross-border replacement / cost-savings decision. Value the project where the cash lives (pesos), translate with parity, prove currency choice does not change NPV.</t>
  </si>
  <si>
    <t xml:space="preserve">Investment &amp; Equipment</t>
  </si>
  <si>
    <t xml:space="preserve">Initial investment — new equipment (MXN)</t>
  </si>
  <si>
    <t xml:space="preserve">Case: MXN 35,00,000</t>
  </si>
  <si>
    <t xml:space="preserve">Useful life (years)</t>
  </si>
  <si>
    <t xml:space="preserve">Case: 10-yr straight-line</t>
  </si>
  <si>
    <t xml:space="preserve">Old equipment — book value / tax basis (MXN)</t>
  </si>
  <si>
    <t xml:space="preserve">Case</t>
  </si>
  <si>
    <t xml:space="preserve">Old equipment — market value (MXN)</t>
  </si>
  <si>
    <t xml:space="preserve">Case: cash-in on disposal</t>
  </si>
  <si>
    <t xml:space="preserve">Old equipment — remaining dep life (years)</t>
  </si>
  <si>
    <t xml:space="preserve">Case: 3 yrs SL left</t>
  </si>
  <si>
    <t xml:space="preserve">Terminal / salvage value (MXN)</t>
  </si>
  <si>
    <t xml:space="preserve">Case: salvage = disposal cost → net zero</t>
  </si>
  <si>
    <t xml:space="preserve">Rates, Inflation &amp; Tax</t>
  </si>
  <si>
    <t xml:space="preserve">Euro hurdle rate (parent)</t>
  </si>
  <si>
    <t xml:space="preserve">Case: 8% EUR — the ONLY discount rate to use</t>
  </si>
  <si>
    <t xml:space="preserve">Mexico inflation</t>
  </si>
  <si>
    <t xml:space="preserve">Case: 7%</t>
  </si>
  <si>
    <t xml:space="preserve">France inflation</t>
  </si>
  <si>
    <t xml:space="preserve">Case: 3%</t>
  </si>
  <si>
    <t xml:space="preserve">Spot exchange rate (MXN per EUR)</t>
  </si>
  <si>
    <t xml:space="preserve">Case: MXN 15.99 / EUR on 23-Jun-2020</t>
  </si>
  <si>
    <t xml:space="preserve">Mexican corporate tax rate (BASE CASE)</t>
  </si>
  <si>
    <t xml:space="preserve">Case: cash flows sit in Mexico → use 33.33%</t>
  </si>
  <si>
    <t xml:space="preserve">Derived (formulas)</t>
  </si>
  <si>
    <t xml:space="preserve">Peso hurdle via Fisher = (1+r€)(1+π_mx)/(1+π_fr) − 1</t>
  </si>
  <si>
    <t xml:space="preserve">Route A discount rate</t>
  </si>
  <si>
    <t xml:space="preserve">Annual peso depreciation vs PPP = (1+π_mx)/(1+π_fr) − 1</t>
  </si>
  <si>
    <t xml:space="preserve">Peso weakens ~3.88%/yr (Route B path)</t>
  </si>
  <si>
    <t xml:space="preserve">New-equipment annual depreciation = Cost / life</t>
  </si>
  <si>
    <t xml:space="preserve">Old-equipment annual depreciation = Basis / rem. life</t>
  </si>
  <si>
    <t xml:space="preserve">Blue = input, Black = formula, Green = cross-sheet. TRAPS: (1) discount ONLY at 8% EUR / 12.19% peso — never the borrowing rates 4.99/8.10/9.21/4.75% (financing ≠ investment). (2) Old machine cash-in = MARKET 175,000, not book 250,000; book enters only via tax shield on the loss. (3) Incremental dep is 266,667 in yrs 1-3 (forgone old dep), 350,000 after. (4) Use Mexican 33.33% for project cash; French 35% is only for the repatriation discussion. Flip tax to 35% to reconcile with the case Excel exhibit.</t>
  </si>
  <si>
    <t xml:space="preserve">Decision &amp; Parity Reconciliation</t>
  </si>
  <si>
    <t xml:space="preserve">Both routes must give the same answer</t>
  </si>
  <si>
    <t xml:space="preserve">Route A — NPV in MXN</t>
  </si>
  <si>
    <t xml:space="preserve">Peso cash flows @ 12.19%</t>
  </si>
  <si>
    <t xml:space="preserve">Route A — NPV in EUR (÷ spot)</t>
  </si>
  <si>
    <t xml:space="preserve">Same project, stated in euros</t>
  </si>
  <si>
    <t xml:space="preserve">Route B — NPV in EUR (PPP path)</t>
  </si>
  <si>
    <t xml:space="preserve">Euro cash flows @ 8%</t>
  </si>
  <si>
    <t xml:space="preserve">Difference (A − B), EUR — should be ≈ 0</t>
  </si>
  <si>
    <t xml:space="preserve">Decision</t>
  </si>
  <si>
    <t xml:space="preserve">NPV &gt; 0  →  ACCEPT the investment</t>
  </si>
  <si>
    <t xml:space="preserve">Check figures (base case, t = 33.33%)</t>
  </si>
  <si>
    <t xml:space="preserve">Expected NPV (MXN)</t>
  </si>
  <si>
    <t xml:space="preserve">MXN 15,55,064</t>
  </si>
  <si>
    <t xml:space="preserve">Expected NPV (EUR)</t>
  </si>
  <si>
    <t xml:space="preserve">EUR 97,252</t>
  </si>
  <si>
    <t xml:space="preserve">Peso hurdle (Fisher)</t>
  </si>
  <si>
    <t xml:space="preserve">12.19%</t>
  </si>
  <si>
    <t xml:space="preserve">Annual peso depreciation</t>
  </si>
  <si>
    <t xml:space="preserve">~3.88%</t>
  </si>
  <si>
    <t xml:space="preserve">Discussion (earn the marks)</t>
  </si>
  <si>
    <t xml:space="preserve">Real peso depreciation</t>
  </si>
  <si>
    <t xml:space="preserve">Analysts expect the peso to weaken FASTER than PPP. Re-run Route B with a steeper devaluation → euro value of peso savings shrinks → lower NPV. Sensitivity, not base case.</t>
  </si>
  <si>
    <t xml:space="preserve">Country-risk premium</t>
  </si>
  <si>
    <t xml:space="preserve">Should the 8% hurdle carry a Mexico risk premium? If yes, discount rate rises and NPV falls. Judgment call.</t>
  </si>
  <si>
    <t xml:space="preserve">Financing ≠ investment</t>
  </si>
  <si>
    <t xml:space="preserve">Peso borrowing (8.10–9.21%) may HEDGE currency exposure but does NOT change project NPV. Keep financing separate.</t>
  </si>
  <si>
    <t xml:space="preserve">Tax rate</t>
  </si>
  <si>
    <t xml:space="preserve">Base uses Mexican 33.33% (cash lives in Mexico). The case Excel exhibit used 35% → NPV EUR 92,495. French 35% only matters for repatriation.</t>
  </si>
  <si>
    <t xml:space="preserve">After-Tax Cash Flows in Pesos (the project engine)</t>
  </si>
  <si>
    <t xml:space="preserve">Year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</si>
  <si>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</si>
  <si>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</si>
  <si>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</si>
  <si>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</si>
  <si>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</si>
  <si>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</si>
  <si>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</si>
  <si>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</si>
  <si>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</si>
  <si>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</si>
  <si>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</si>
  <si>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Step 1 — Net Initial Investment (Year 0)</t>
  </si>
  <si>
    <t xml:space="preserve">Cost of new equipment</t>
  </si>
  <si>
    <t xml:space="preserve">+ Sale of old equipment (MARKET value)</t>
  </si>
  <si>
    <t xml:space="preserve">+ Tax shield on loss = (Basis − Market) × t</t>
  </si>
  <si>
    <t xml:space="preserve">  Net Initial Investment</t>
  </si>
  <si>
    <t xml:space="preserve">Step 2 — Incremental Depreciation (non-cash; drives tax shield)</t>
  </si>
  <si>
    <t xml:space="preserve">New-equipment depreciation</t>
  </si>
  <si>
    <t xml:space="preserve">− Forgone old-equipment depreciation (yrs 1-3)</t>
  </si>
  <si>
    <t xml:space="preserve">  0</t>
  </si>
  <si>
    <t xml:space="preserve">  Incremental Depreciation (ΔD)</t>
  </si>
  <si>
    <t xml:space="preserve">Step 3 — Annual After-Tax Cash Flow  =  Savings×(1−t) + ΔD×t</t>
  </si>
  <si>
    <t xml:space="preserve">Pre-tax savings (from Savings tab)</t>
  </si>
  <si>
    <t xml:space="preserve">Savings × (1 − t)   [after-tax savings]</t>
  </si>
  <si>
    <t xml:space="preserve">ΔD × t   [depreciation tax shield]</t>
  </si>
  <si>
    <t xml:space="preserve">  After-Tax Cash Flow (ATCF), MXN</t>
  </si>
  <si>
    <t xml:space="preserve">Step 4 — Terminal value = 0 (salvage = disposal cost). No working capital mentioned → none.</t>
  </si>
  <si>
    <t xml:space="preserve">ROUTE A — Discount Peso Cash Flows at the Peso Hurdle (12.19%)</t>
  </si>
  <si>
    <t xml:space="preserve">Stay in pesos the whole way. Convert the 8% euro hurdle into its peso twin via Fisher, discount, then divide the NPV by spot to state in euros.</t>
  </si>
  <si>
    <t xml:space="preserve">ATCF (MXN, from engine)</t>
  </si>
  <si>
    <t xml:space="preserve">Period</t>
  </si>
  <si>
    <t xml:space="preserve">Discount factor @ peso hurdle</t>
  </si>
  <si>
    <t xml:space="preserve">PV of each cash flow (MXN)</t>
  </si>
  <si>
    <t xml:space="preserve">NPV (MXN)</t>
  </si>
  <si>
    <t xml:space="preserve">NPV (EUR) = NPV(MXN) / spot</t>
  </si>
  <si>
    <t xml:space="preserve">ROUTE B — Convert Cash Flows to Euros, Discount at 8%</t>
  </si>
  <si>
    <t xml:space="preserve">Forecast the spot path with relative PPP: S(t) = spot × ((1+π_mx)/(1+π_fr))^t. Convert each year, discount euros at the 8% hurdle.</t>
  </si>
  <si>
    <t xml:space="preserve">Forecast spot S(t) = spot×((1+π_mx)/(1+π_fr))^t</t>
  </si>
  <si>
    <t xml:space="preserve">Cash flow in EUR = MXN / S(t)</t>
  </si>
  <si>
    <t xml:space="preserve">Discount factor @ 8% euro hurdle</t>
  </si>
  <si>
    <t xml:space="preserve">PV of each cash flow (EUR)</t>
  </si>
  <si>
    <t xml:space="preserve">NPV (EUR)</t>
  </si>
  <si>
    <t xml:space="preserve">Exhibit 1 — Pre-tax Cost Savings (Manual − Automatic), MXN</t>
  </si>
  <si>
    <t xml:space="preserve">Total operating cost — Manual</t>
  </si>
  <si>
    <t xml:space="preserve">Total operating cost — Automatic</t>
  </si>
  <si>
    <t xml:space="preserve">Pre-tax Savings (Manual − Automatic)</t>
  </si>
  <si>
    <t xml:space="preserve">Source: Case Exhibit 1 (Panel A Manual, Panel B Automatic). Values are total peso operating costs; savings feed the cash-flow engine.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</si>
</sst>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"/>
    <numFmt numFmtId="167" formatCode="0.00%;\(0.00%\);\-"/>
    <numFmt numFmtId="168" formatCode="#,##0.00;\(#,##0.00\);\-"/>
    <numFmt numFmtId="169" formatCode="\€#,##0;&quot;(€&quot;#,##0\);\-"/>
    <numFmt numFmtId="170" formatCode="\€#,##0.0000"/>
    <numFmt numFmtId="171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54823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2E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5"/>
    <col collapsed="false" customWidth="true" hidden="false" outlineLevel="0" max="4" min="4" style="1" width="3"/>
    <col collapsed="false" customWidth="true" hidden="false" outlineLevel="0" max="5" min="5" style="1" width="52"/>
  </cols>
  <sheetData>
    <row r="2" customFormat="false" ht="25.5" hidden="false" customHeight="true" outlineLevel="0" collapsed="false">
      <c r="B2" s="2" t="s">
        <v>0</v>
      </c>
      <c r="C2" s="2"/>
    </row>
    <row r="3" customFormat="false" ht="15.75" hidden="false" customHeight="true" outlineLevel="0" collapsed="false">
      <c r="B3" s="3" t="s">
        <v>1</v>
      </c>
      <c r="C3" s="3"/>
      <c r="D3" s="3"/>
      <c r="E3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6" t="n">
        <v>3500000</v>
      </c>
      <c r="E6" s="7" t="s">
        <v>4</v>
      </c>
    </row>
    <row r="7" customFormat="false" ht="15" hidden="false" customHeight="true" outlineLevel="0" collapsed="false">
      <c r="B7" s="5" t="s">
        <v>5</v>
      </c>
      <c r="C7" s="8" t="n">
        <v>10</v>
      </c>
      <c r="E7" s="7" t="s">
        <v>6</v>
      </c>
    </row>
    <row r="8" customFormat="false" ht="15" hidden="false" customHeight="true" outlineLevel="0" collapsed="false">
      <c r="B8" s="5" t="s">
        <v>7</v>
      </c>
      <c r="C8" s="6" t="n">
        <v>250000</v>
      </c>
      <c r="E8" s="7" t="s">
        <v>8</v>
      </c>
    </row>
    <row r="9" customFormat="false" ht="15" hidden="false" customHeight="true" outlineLevel="0" collapsed="false">
      <c r="B9" s="5" t="s">
        <v>9</v>
      </c>
      <c r="C9" s="6" t="n">
        <v>175000</v>
      </c>
      <c r="E9" s="7" t="s">
        <v>10</v>
      </c>
    </row>
    <row r="10" customFormat="false" ht="15" hidden="false" customHeight="true" outlineLevel="0" collapsed="false">
      <c r="B10" s="5" t="s">
        <v>11</v>
      </c>
      <c r="C10" s="8" t="n">
        <v>3</v>
      </c>
      <c r="E10" s="7" t="s">
        <v>12</v>
      </c>
    </row>
    <row r="11" customFormat="false" ht="15" hidden="false" customHeight="true" outlineLevel="0" collapsed="false">
      <c r="B11" s="5" t="s">
        <v>13</v>
      </c>
      <c r="C11" s="6" t="n">
        <v>0</v>
      </c>
      <c r="E11" s="7" t="s">
        <v>14</v>
      </c>
    </row>
    <row r="13" customFormat="false" ht="15" hidden="false" customHeight="true" outlineLevel="0" collapsed="false">
      <c r="B13" s="4" t="s">
        <v>15</v>
      </c>
    </row>
    <row r="14" customFormat="false" ht="15" hidden="false" customHeight="true" outlineLevel="0" collapsed="false">
      <c r="B14" s="5" t="s">
        <v>16</v>
      </c>
      <c r="C14" s="9" t="n">
        <v>0.08</v>
      </c>
      <c r="E14" s="7" t="s">
        <v>17</v>
      </c>
    </row>
    <row r="15" customFormat="false" ht="15" hidden="false" customHeight="true" outlineLevel="0" collapsed="false">
      <c r="B15" s="5" t="s">
        <v>18</v>
      </c>
      <c r="C15" s="9" t="n">
        <v>0.07</v>
      </c>
      <c r="E15" s="7" t="s">
        <v>19</v>
      </c>
    </row>
    <row r="16" customFormat="false" ht="15" hidden="false" customHeight="true" outlineLevel="0" collapsed="false">
      <c r="B16" s="5" t="s">
        <v>20</v>
      </c>
      <c r="C16" s="9" t="n">
        <v>0.03</v>
      </c>
      <c r="E16" s="7" t="s">
        <v>21</v>
      </c>
    </row>
    <row r="17" customFormat="false" ht="15" hidden="false" customHeight="true" outlineLevel="0" collapsed="false">
      <c r="B17" s="5" t="s">
        <v>22</v>
      </c>
      <c r="C17" s="10" t="n">
        <v>15.99</v>
      </c>
      <c r="E17" s="7" t="s">
        <v>23</v>
      </c>
    </row>
    <row r="18" customFormat="false" ht="15" hidden="false" customHeight="true" outlineLevel="0" collapsed="false">
      <c r="B18" s="5" t="s">
        <v>24</v>
      </c>
      <c r="C18" s="9" t="n">
        <v>0.333333333333333</v>
      </c>
      <c r="E18" s="7" t="s">
        <v>25</v>
      </c>
    </row>
    <row r="20" customFormat="false" ht="15" hidden="false" customHeight="true" outlineLevel="0" collapsed="false">
      <c r="B20" s="4" t="s">
        <v>26</v>
      </c>
    </row>
    <row r="21" customFormat="false" ht="15" hidden="false" customHeight="true" outlineLevel="0" collapsed="false">
      <c r="B21" s="5" t="s">
        <v>27</v>
      </c>
      <c r="C21" s="11" t="n">
        <f aca="false">(1+Assumptions!$C$14)*(1+Assumptions!$C$15)/(1+Assumptions!$C$16)-1</f>
        <v>0.121941747572816</v>
      </c>
      <c r="E21" s="7" t="s">
        <v>28</v>
      </c>
    </row>
    <row r="22" customFormat="false" ht="15" hidden="false" customHeight="true" outlineLevel="0" collapsed="false">
      <c r="B22" s="5" t="s">
        <v>29</v>
      </c>
      <c r="C22" s="11" t="n">
        <f aca="false">(1+Assumptions!$C$15)/(1+Assumptions!$C$16)-1</f>
        <v>0.0388349514563107</v>
      </c>
      <c r="E22" s="7" t="s">
        <v>30</v>
      </c>
    </row>
    <row r="23" customFormat="false" ht="15" hidden="false" customHeight="true" outlineLevel="0" collapsed="false">
      <c r="B23" s="5" t="s">
        <v>31</v>
      </c>
      <c r="C23" s="12" t="n">
        <f aca="false">Assumptions!$C$6/Assumptions!$C$7</f>
        <v>350000</v>
      </c>
    </row>
    <row r="24" customFormat="false" ht="15" hidden="false" customHeight="true" outlineLevel="0" collapsed="false">
      <c r="B24" s="5" t="s">
        <v>32</v>
      </c>
      <c r="C24" s="12" t="n">
        <f aca="false">Assumptions!$C$8/Assumptions!$C$10</f>
        <v>83333.3333333333</v>
      </c>
    </row>
    <row r="26" customFormat="false" ht="15" hidden="false" customHeight="true" outlineLevel="0" collapsed="false">
      <c r="B26" s="13" t="s">
        <v>33</v>
      </c>
      <c r="C26" s="13"/>
      <c r="D26" s="13"/>
      <c r="E26" s="13"/>
    </row>
    <row r="27" customFormat="false" ht="15" hidden="false" customHeight="true" outlineLevel="0" collapsed="false">
      <c r="B27" s="13"/>
      <c r="C27" s="13"/>
      <c r="D27" s="13"/>
      <c r="E27" s="13"/>
    </row>
    <row r="28" customFormat="false" ht="15" hidden="false" customHeight="true" outlineLevel="0" collapsed="false">
      <c r="B28" s="13"/>
      <c r="C28" s="13"/>
      <c r="D28" s="13"/>
      <c r="E28" s="13"/>
    </row>
    <row r="29" customFormat="false" ht="15" hidden="false" customHeight="true" outlineLevel="0" collapsed="false">
      <c r="B29" s="13"/>
      <c r="C29" s="13"/>
      <c r="D29" s="13"/>
      <c r="E29" s="13"/>
    </row>
    <row r="30" customFormat="false" ht="15" hidden="false" customHeight="true" outlineLevel="0" collapsed="false">
      <c r="B30" s="13"/>
      <c r="C30" s="13"/>
      <c r="D30" s="13"/>
      <c r="E30" s="13"/>
    </row>
  </sheetData>
  <mergeCells count="3">
    <mergeCell ref="B2:C2"/>
    <mergeCell ref="B3:E3"/>
    <mergeCell ref="B26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54"/>
  </cols>
  <sheetData>
    <row r="2" customFormat="false" ht="25.5" hidden="false" customHeight="true" outlineLevel="0" collapsed="false">
      <c r="B2" s="2" t="s">
        <v>34</v>
      </c>
      <c r="C2" s="2"/>
    </row>
    <row r="4" customFormat="false" ht="15" hidden="false" customHeight="true" outlineLevel="0" collapsed="false">
      <c r="B4" s="4" t="s">
        <v>35</v>
      </c>
    </row>
    <row r="5" customFormat="false" ht="15" hidden="false" customHeight="true" outlineLevel="0" collapsed="false">
      <c r="B5" s="14" t="s">
        <v>36</v>
      </c>
      <c r="C5" s="15" t="n">
        <f aca="false">RouteA_Peso!$C$11</f>
        <v>1555063.70286684</v>
      </c>
      <c r="E5" s="7" t="s">
        <v>37</v>
      </c>
    </row>
    <row r="6" customFormat="false" ht="15" hidden="false" customHeight="true" outlineLevel="0" collapsed="false">
      <c r="B6" s="14" t="s">
        <v>38</v>
      </c>
      <c r="C6" s="16" t="n">
        <f aca="false">RouteA_Peso!$C$12</f>
        <v>97252.2640942364</v>
      </c>
      <c r="E6" s="7" t="s">
        <v>39</v>
      </c>
    </row>
    <row r="7" customFormat="false" ht="15" hidden="false" customHeight="true" outlineLevel="0" collapsed="false">
      <c r="B7" s="14" t="s">
        <v>40</v>
      </c>
      <c r="C7" s="16" t="n">
        <f aca="false">RouteB_Euro!$C$13</f>
        <v>97252.2640942366</v>
      </c>
      <c r="E7" s="7" t="s">
        <v>41</v>
      </c>
    </row>
    <row r="8" customFormat="false" ht="15" hidden="false" customHeight="true" outlineLevel="0" collapsed="false">
      <c r="B8" s="17" t="s">
        <v>42</v>
      </c>
      <c r="C8" s="18" t="n">
        <f aca="false">RouteA_Peso!$C$12-RouteB_Euro!$C$13</f>
        <v>0</v>
      </c>
    </row>
    <row r="10" customFormat="false" ht="15" hidden="false" customHeight="true" outlineLevel="0" collapsed="false">
      <c r="B10" s="4" t="s">
        <v>43</v>
      </c>
    </row>
    <row r="11" customFormat="false" ht="19.5" hidden="false" customHeight="true" outlineLevel="0" collapsed="false">
      <c r="B11" s="19" t="s">
        <v>44</v>
      </c>
      <c r="C11" s="20" t="str">
        <f aca="false">IF(RouteB_Euro!$C$13&gt;0,"ACCEPT","REJECT")</f>
        <v>ACCEPT</v>
      </c>
    </row>
    <row r="13" customFormat="false" ht="15" hidden="false" customHeight="true" outlineLevel="0" collapsed="false">
      <c r="B13" s="4" t="s">
        <v>45</v>
      </c>
    </row>
    <row r="14" customFormat="false" ht="15" hidden="false" customHeight="true" outlineLevel="0" collapsed="false">
      <c r="B14" s="5" t="s">
        <v>46</v>
      </c>
      <c r="C14" s="21" t="s">
        <v>47</v>
      </c>
    </row>
    <row r="15" customFormat="false" ht="15" hidden="false" customHeight="true" outlineLevel="0" collapsed="false">
      <c r="B15" s="5" t="s">
        <v>48</v>
      </c>
      <c r="C15" s="21" t="s">
        <v>49</v>
      </c>
    </row>
    <row r="16" customFormat="false" ht="15" hidden="false" customHeight="true" outlineLevel="0" collapsed="false">
      <c r="B16" s="5" t="s">
        <v>50</v>
      </c>
      <c r="C16" s="21" t="s">
        <v>51</v>
      </c>
    </row>
    <row r="17" customFormat="false" ht="15" hidden="false" customHeight="true" outlineLevel="0" collapsed="false">
      <c r="B17" s="5" t="s">
        <v>52</v>
      </c>
      <c r="C17" s="21" t="s">
        <v>53</v>
      </c>
    </row>
    <row r="19" customFormat="false" ht="15" hidden="false" customHeight="true" outlineLevel="0" collapsed="false">
      <c r="B19" s="4" t="s">
        <v>54</v>
      </c>
    </row>
    <row r="20" customFormat="false" ht="42" hidden="false" customHeight="true" outlineLevel="0" collapsed="false">
      <c r="B20" s="22" t="s">
        <v>55</v>
      </c>
      <c r="C20" s="23" t="s">
        <v>56</v>
      </c>
      <c r="D20" s="23"/>
      <c r="E20" s="23"/>
    </row>
    <row r="21" customFormat="false" ht="42" hidden="false" customHeight="true" outlineLevel="0" collapsed="false">
      <c r="B21" s="22" t="s">
        <v>57</v>
      </c>
      <c r="C21" s="23" t="s">
        <v>58</v>
      </c>
      <c r="D21" s="23"/>
      <c r="E21" s="23"/>
    </row>
    <row r="22" customFormat="false" ht="42" hidden="false" customHeight="true" outlineLevel="0" collapsed="false">
      <c r="B22" s="22" t="s">
        <v>59</v>
      </c>
      <c r="C22" s="23" t="s">
        <v>60</v>
      </c>
      <c r="D22" s="23"/>
      <c r="E22" s="23"/>
    </row>
    <row r="23" customFormat="false" ht="42" hidden="false" customHeight="true" outlineLevel="0" collapsed="false">
      <c r="B23" s="22" t="s">
        <v>61</v>
      </c>
      <c r="C23" s="23" t="s">
        <v>62</v>
      </c>
      <c r="D23" s="23"/>
      <c r="E23" s="23"/>
    </row>
  </sheetData>
  <mergeCells count="5">
    <mergeCell ref="B2:C2"/>
    <mergeCell ref="C20:E20"/>
    <mergeCell ref="C21:E21"/>
    <mergeCell ref="C22:E22"/>
    <mergeCell ref="C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12" min="4" style="1" width="11"/>
  </cols>
  <sheetData>
    <row r="2" customFormat="false" ht="24" hidden="false" customHeight="true" outlineLevel="0" collapsed="false">
      <c r="B2" s="2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24" t="s">
        <v>64</v>
      </c>
      <c r="C4" s="25" t="s">
        <v>65</v>
      </c>
      <c r="D4" s="25" t="s">
        <v>66</v>
      </c>
      <c r="E4" s="25" t="s">
        <v>67</v>
      </c>
      <c r="F4" s="25" t="s">
        <v>68</v>
      </c>
      <c r="G4" s="25" t="s">
        <v>69</v>
      </c>
      <c r="H4" s="25" t="s">
        <v>70</v>
      </c>
      <c r="I4" s="25" t="s">
        <v>71</v>
      </c>
      <c r="J4" s="25" t="s">
        <v>72</v>
      </c>
      <c r="K4" s="25" t="s">
        <v>73</v>
      </c>
      <c r="L4" s="25" t="s">
        <v>74</v>
      </c>
      <c r="M4" s="25" t="s">
        <v>75</v>
      </c>
    </row>
    <row r="5" customFormat="false" ht="15" hidden="false" customHeight="true" outlineLevel="0" collapsed="false">
      <c r="B5" s="24" t="s">
        <v>76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customFormat="false" ht="15" hidden="false" customHeight="true" outlineLevel="0" collapsed="false">
      <c r="B6" s="5" t="s">
        <v>77</v>
      </c>
      <c r="C6" s="26" t="n">
        <f aca="false">-Assumptions!$C$6</f>
        <v>-3500000</v>
      </c>
    </row>
    <row r="7" customFormat="false" ht="15" hidden="false" customHeight="true" outlineLevel="0" collapsed="false">
      <c r="B7" s="5" t="s">
        <v>78</v>
      </c>
      <c r="C7" s="26" t="n">
        <f aca="false">Assumptions!$C$9</f>
        <v>175000</v>
      </c>
    </row>
    <row r="8" customFormat="false" ht="15" hidden="false" customHeight="true" outlineLevel="0" collapsed="false">
      <c r="B8" s="5" t="s">
        <v>79</v>
      </c>
      <c r="C8" s="26" t="n">
        <f aca="false">(Assumptions!$C$8-Assumptions!$C$9)*Assumptions!$C$18</f>
        <v>25000</v>
      </c>
    </row>
    <row r="9" customFormat="false" ht="15" hidden="false" customHeight="true" outlineLevel="0" collapsed="false">
      <c r="B9" s="27" t="s">
        <v>80</v>
      </c>
      <c r="C9" s="28" t="n">
        <f aca="false">C6+C7+C8</f>
        <v>-3300000</v>
      </c>
    </row>
    <row r="11" customFormat="false" ht="15" hidden="false" customHeight="true" outlineLevel="0" collapsed="false">
      <c r="B11" s="24" t="s">
        <v>81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customFormat="false" ht="15" hidden="false" customHeight="true" outlineLevel="0" collapsed="false">
      <c r="B12" s="5" t="s">
        <v>82</v>
      </c>
      <c r="C12" s="26" t="n">
        <f aca="false">Assumptions!$C$23</f>
        <v>350000</v>
      </c>
      <c r="D12" s="26" t="n">
        <f aca="false">Assumptions!$C$23</f>
        <v>350000</v>
      </c>
      <c r="E12" s="26" t="n">
        <f aca="false">Assumptions!$C$23</f>
        <v>350000</v>
      </c>
      <c r="F12" s="26" t="n">
        <f aca="false">Assumptions!$C$23</f>
        <v>350000</v>
      </c>
      <c r="G12" s="26" t="n">
        <f aca="false">Assumptions!$C$23</f>
        <v>350000</v>
      </c>
      <c r="H12" s="26" t="n">
        <f aca="false">Assumptions!$C$23</f>
        <v>350000</v>
      </c>
      <c r="I12" s="26" t="n">
        <f aca="false">Assumptions!$C$23</f>
        <v>350000</v>
      </c>
      <c r="J12" s="26" t="n">
        <f aca="false">Assumptions!$C$23</f>
        <v>350000</v>
      </c>
      <c r="K12" s="26" t="n">
        <f aca="false">Assumptions!$C$23</f>
        <v>350000</v>
      </c>
      <c r="L12" s="26" t="n">
        <f aca="false">Assumptions!$C$23</f>
        <v>350000</v>
      </c>
    </row>
    <row r="13" customFormat="false" ht="15" hidden="false" customHeight="true" outlineLevel="0" collapsed="false">
      <c r="B13" s="5" t="s">
        <v>83</v>
      </c>
      <c r="C13" s="26" t="n">
        <f aca="false">-Assumptions!$C$24</f>
        <v>-83333.3333333333</v>
      </c>
      <c r="D13" s="26" t="n">
        <f aca="false">-Assumptions!$C$24</f>
        <v>-83333.3333333333</v>
      </c>
      <c r="E13" s="26" t="n">
        <f aca="false">-Assumptions!$C$24</f>
        <v>-83333.3333333333</v>
      </c>
      <c r="F13" s="26" t="s">
        <v>84</v>
      </c>
      <c r="G13" s="26" t="s">
        <v>84</v>
      </c>
      <c r="H13" s="26" t="s">
        <v>84</v>
      </c>
      <c r="I13" s="26" t="s">
        <v>84</v>
      </c>
      <c r="J13" s="26" t="s">
        <v>84</v>
      </c>
      <c r="K13" s="26" t="s">
        <v>84</v>
      </c>
      <c r="L13" s="26" t="s">
        <v>84</v>
      </c>
    </row>
    <row r="14" customFormat="false" ht="15" hidden="false" customHeight="true" outlineLevel="0" collapsed="false">
      <c r="B14" s="14" t="s">
        <v>85</v>
      </c>
      <c r="C14" s="12" t="n">
        <f aca="false">C12+C13</f>
        <v>266666.666666667</v>
      </c>
      <c r="D14" s="12" t="n">
        <f aca="false">D12+D13</f>
        <v>266666.666666667</v>
      </c>
      <c r="E14" s="12" t="n">
        <f aca="false">E12+E13</f>
        <v>266666.666666667</v>
      </c>
      <c r="F14" s="12" t="n">
        <f aca="false">F12+F13</f>
        <v>350000</v>
      </c>
      <c r="G14" s="12" t="n">
        <f aca="false">G12+G13</f>
        <v>350000</v>
      </c>
      <c r="H14" s="12" t="n">
        <f aca="false">H12+H13</f>
        <v>350000</v>
      </c>
      <c r="I14" s="12" t="n">
        <f aca="false">I12+I13</f>
        <v>350000</v>
      </c>
      <c r="J14" s="12" t="n">
        <f aca="false">J12+J13</f>
        <v>350000</v>
      </c>
      <c r="K14" s="12" t="n">
        <f aca="false">K12+K13</f>
        <v>350000</v>
      </c>
      <c r="L14" s="12" t="n">
        <f aca="false">L12+L13</f>
        <v>350000</v>
      </c>
    </row>
    <row r="16" customFormat="false" ht="15" hidden="false" customHeight="true" outlineLevel="0" collapsed="false">
      <c r="B16" s="24" t="s">
        <v>86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customFormat="false" ht="15" hidden="false" customHeight="true" outlineLevel="0" collapsed="false">
      <c r="B17" s="29" t="s">
        <v>87</v>
      </c>
      <c r="C17" s="30" t="n">
        <f aca="false">Savings!$C$7</f>
        <v>727429</v>
      </c>
      <c r="D17" s="30" t="n">
        <f aca="false">Savings!$D$7</f>
        <v>844009</v>
      </c>
      <c r="E17" s="30" t="n">
        <f aca="false">Savings!$E$7</f>
        <v>980371</v>
      </c>
      <c r="F17" s="30" t="n">
        <f aca="false">Savings!$F$7</f>
        <v>1139956</v>
      </c>
      <c r="G17" s="30" t="n">
        <f aca="false">Savings!$G$7</f>
        <v>1219753</v>
      </c>
      <c r="H17" s="30" t="n">
        <f aca="false">Savings!$H$7</f>
        <v>1305136</v>
      </c>
      <c r="I17" s="30" t="n">
        <f aca="false">Savings!$I$7</f>
        <v>1396496</v>
      </c>
      <c r="J17" s="30" t="n">
        <f aca="false">Savings!$J$7</f>
        <v>1494251</v>
      </c>
      <c r="K17" s="30" t="n">
        <f aca="false">Savings!$K$7</f>
        <v>1598848</v>
      </c>
      <c r="L17" s="30" t="n">
        <f aca="false">Savings!$L$7</f>
        <v>1710767</v>
      </c>
    </row>
    <row r="18" customFormat="false" ht="15" hidden="false" customHeight="true" outlineLevel="0" collapsed="false">
      <c r="B18" s="5" t="s">
        <v>88</v>
      </c>
      <c r="C18" s="26" t="n">
        <f aca="false">C17*(1-Assumptions!$C$18)</f>
        <v>484952.666666667</v>
      </c>
      <c r="D18" s="26" t="n">
        <f aca="false">D17*(1-Assumptions!$C$18)</f>
        <v>562672.666666667</v>
      </c>
      <c r="E18" s="26" t="n">
        <f aca="false">E17*(1-Assumptions!$C$18)</f>
        <v>653580.666666667</v>
      </c>
      <c r="F18" s="26" t="n">
        <f aca="false">F17*(1-Assumptions!$C$18)</f>
        <v>759970.666666667</v>
      </c>
      <c r="G18" s="26" t="n">
        <f aca="false">G17*(1-Assumptions!$C$18)</f>
        <v>813168.666666667</v>
      </c>
      <c r="H18" s="26" t="n">
        <f aca="false">H17*(1-Assumptions!$C$18)</f>
        <v>870090.666666667</v>
      </c>
      <c r="I18" s="26" t="n">
        <f aca="false">I17*(1-Assumptions!$C$18)</f>
        <v>930997.333333334</v>
      </c>
      <c r="J18" s="26" t="n">
        <f aca="false">J17*(1-Assumptions!$C$18)</f>
        <v>996167.333333334</v>
      </c>
      <c r="K18" s="26" t="n">
        <f aca="false">K17*(1-Assumptions!$C$18)</f>
        <v>1065898.66666667</v>
      </c>
      <c r="L18" s="26" t="n">
        <f aca="false">L17*(1-Assumptions!$C$18)</f>
        <v>1140511.33333333</v>
      </c>
    </row>
    <row r="19" customFormat="false" ht="15" hidden="false" customHeight="true" outlineLevel="0" collapsed="false">
      <c r="B19" s="5" t="s">
        <v>89</v>
      </c>
      <c r="C19" s="26" t="n">
        <f aca="false">C14*Assumptions!$C$18</f>
        <v>88888.8888888888</v>
      </c>
      <c r="D19" s="26" t="n">
        <f aca="false">D14*Assumptions!$C$18</f>
        <v>88888.8888888888</v>
      </c>
      <c r="E19" s="26" t="n">
        <f aca="false">E14*Assumptions!$C$18</f>
        <v>88888.8888888888</v>
      </c>
      <c r="F19" s="26" t="n">
        <f aca="false">F14*Assumptions!$C$18</f>
        <v>116666.666666667</v>
      </c>
      <c r="G19" s="26" t="n">
        <f aca="false">G14*Assumptions!$C$18</f>
        <v>116666.666666667</v>
      </c>
      <c r="H19" s="26" t="n">
        <f aca="false">H14*Assumptions!$C$18</f>
        <v>116666.666666667</v>
      </c>
      <c r="I19" s="26" t="n">
        <f aca="false">I14*Assumptions!$C$18</f>
        <v>116666.666666667</v>
      </c>
      <c r="J19" s="26" t="n">
        <f aca="false">J14*Assumptions!$C$18</f>
        <v>116666.666666667</v>
      </c>
      <c r="K19" s="26" t="n">
        <f aca="false">K14*Assumptions!$C$18</f>
        <v>116666.666666667</v>
      </c>
      <c r="L19" s="26" t="n">
        <f aca="false">L14*Assumptions!$C$18</f>
        <v>116666.666666667</v>
      </c>
    </row>
    <row r="20" customFormat="false" ht="15" hidden="false" customHeight="true" outlineLevel="0" collapsed="false">
      <c r="B20" s="27" t="s">
        <v>90</v>
      </c>
      <c r="C20" s="28" t="n">
        <f aca="false">C18+C19</f>
        <v>573841.555555556</v>
      </c>
      <c r="D20" s="28" t="n">
        <f aca="false">D18+D19</f>
        <v>651561.555555556</v>
      </c>
      <c r="E20" s="28" t="n">
        <f aca="false">E18+E19</f>
        <v>742469.555555556</v>
      </c>
      <c r="F20" s="28" t="n">
        <f aca="false">F18+F19</f>
        <v>876637.333333334</v>
      </c>
      <c r="G20" s="28" t="n">
        <f aca="false">G18+G19</f>
        <v>929835.333333334</v>
      </c>
      <c r="H20" s="28" t="n">
        <f aca="false">H18+H19</f>
        <v>986757.333333334</v>
      </c>
      <c r="I20" s="28" t="n">
        <f aca="false">I18+I19</f>
        <v>1047664</v>
      </c>
      <c r="J20" s="28" t="n">
        <f aca="false">J18+J19</f>
        <v>1112834</v>
      </c>
      <c r="K20" s="28" t="n">
        <f aca="false">K18+K19</f>
        <v>1182565.33333333</v>
      </c>
      <c r="L20" s="28" t="n">
        <f aca="false">L18+L19</f>
        <v>1257178</v>
      </c>
    </row>
    <row r="21" customFormat="false" ht="15" hidden="false" customHeight="true" outlineLevel="0" collapsed="false">
      <c r="B21" s="7" t="s">
        <v>91</v>
      </c>
    </row>
  </sheetData>
  <mergeCells count="4">
    <mergeCell ref="B2:M2"/>
    <mergeCell ref="B5:M5"/>
    <mergeCell ref="B11:M11"/>
    <mergeCell ref="B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13" min="3" style="1" width="11"/>
  </cols>
  <sheetData>
    <row r="2" customFormat="false" ht="24" hidden="false" customHeight="true" outlineLevel="0" collapsed="false">
      <c r="B2" s="2" t="s">
        <v>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B3" s="31" t="s">
        <v>93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customFormat="false" ht="15" hidden="false" customHeight="true" outlineLevel="0" collapsed="false">
      <c r="B5" s="24" t="s">
        <v>64</v>
      </c>
      <c r="C5" s="25" t="s">
        <v>65</v>
      </c>
      <c r="D5" s="25" t="s">
        <v>66</v>
      </c>
      <c r="E5" s="25" t="s">
        <v>67</v>
      </c>
      <c r="F5" s="25" t="s">
        <v>68</v>
      </c>
      <c r="G5" s="25" t="s">
        <v>69</v>
      </c>
      <c r="H5" s="25" t="s">
        <v>70</v>
      </c>
      <c r="I5" s="25" t="s">
        <v>71</v>
      </c>
      <c r="J5" s="25" t="s">
        <v>72</v>
      </c>
      <c r="K5" s="25" t="s">
        <v>73</v>
      </c>
      <c r="L5" s="25" t="s">
        <v>74</v>
      </c>
      <c r="M5" s="25" t="s">
        <v>75</v>
      </c>
    </row>
    <row r="6" customFormat="false" ht="15" hidden="false" customHeight="true" outlineLevel="0" collapsed="false">
      <c r="B6" s="29" t="s">
        <v>94</v>
      </c>
      <c r="C6" s="30" t="n">
        <f aca="false">CashFlow_MXN!$C$9</f>
        <v>-3300000</v>
      </c>
      <c r="D6" s="30" t="n">
        <f aca="false">CashFlow_MXN!$C$20</f>
        <v>573841.555555556</v>
      </c>
      <c r="E6" s="30" t="n">
        <f aca="false">CashFlow_MXN!$D$20</f>
        <v>651561.555555556</v>
      </c>
      <c r="F6" s="30" t="n">
        <f aca="false">CashFlow_MXN!$E$20</f>
        <v>742469.555555556</v>
      </c>
      <c r="G6" s="30" t="n">
        <f aca="false">CashFlow_MXN!$F$20</f>
        <v>876637.333333334</v>
      </c>
      <c r="H6" s="30" t="n">
        <f aca="false">CashFlow_MXN!$G$20</f>
        <v>929835.333333334</v>
      </c>
      <c r="I6" s="30" t="n">
        <f aca="false">CashFlow_MXN!$H$20</f>
        <v>986757.333333334</v>
      </c>
      <c r="J6" s="30" t="n">
        <f aca="false">CashFlow_MXN!$I$20</f>
        <v>1047664</v>
      </c>
      <c r="K6" s="30" t="n">
        <f aca="false">CashFlow_MXN!$J$20</f>
        <v>1112834</v>
      </c>
      <c r="L6" s="30" t="n">
        <f aca="false">CashFlow_MXN!$K$20</f>
        <v>1182565.33333333</v>
      </c>
      <c r="M6" s="30" t="n">
        <f aca="false">CashFlow_MXN!$L$20</f>
        <v>1257178</v>
      </c>
    </row>
    <row r="7" customFormat="false" ht="15" hidden="false" customHeight="true" outlineLevel="0" collapsed="false">
      <c r="B7" s="5" t="s">
        <v>95</v>
      </c>
      <c r="C7" s="32" t="n">
        <v>0</v>
      </c>
      <c r="D7" s="32" t="n">
        <v>1</v>
      </c>
      <c r="E7" s="32" t="n">
        <v>2</v>
      </c>
      <c r="F7" s="32" t="n">
        <v>3</v>
      </c>
      <c r="G7" s="32" t="n">
        <v>4</v>
      </c>
      <c r="H7" s="32" t="n">
        <v>5</v>
      </c>
      <c r="I7" s="32" t="n">
        <v>6</v>
      </c>
      <c r="J7" s="32" t="n">
        <v>7</v>
      </c>
      <c r="K7" s="32" t="n">
        <v>8</v>
      </c>
      <c r="L7" s="32" t="n">
        <v>9</v>
      </c>
      <c r="M7" s="32" t="n">
        <v>10</v>
      </c>
    </row>
    <row r="8" customFormat="false" ht="15" hidden="false" customHeight="true" outlineLevel="0" collapsed="false">
      <c r="B8" s="5" t="s">
        <v>96</v>
      </c>
      <c r="C8" s="33" t="n">
        <v>1</v>
      </c>
      <c r="D8" s="33" t="n">
        <f aca="false">1/(1+Assumptions!$C$21)^D7</f>
        <v>0.891311872620284</v>
      </c>
      <c r="E8" s="33" t="n">
        <f aca="false">1/(1+Assumptions!$C$21)^E7</f>
        <v>0.794436854273877</v>
      </c>
      <c r="F8" s="33" t="n">
        <f aca="false">1/(1+Assumptions!$C$21)^F7</f>
        <v>0.708091000261417</v>
      </c>
      <c r="G8" s="33" t="n">
        <f aca="false">1/(1+Assumptions!$C$21)^G7</f>
        <v>0.631129915428573</v>
      </c>
      <c r="H8" s="33" t="n">
        <f aca="false">1/(1+Assumptions!$C$21)^H7</f>
        <v>0.562533586787323</v>
      </c>
      <c r="I8" s="33" t="n">
        <f aca="false">1/(1+Assumptions!$C$21)^I7</f>
        <v>0.501392864651213</v>
      </c>
      <c r="J8" s="33" t="n">
        <f aca="false">1/(1+Assumptions!$C$21)^J7</f>
        <v>0.446897413110721</v>
      </c>
      <c r="K8" s="33" t="n">
        <f aca="false">1/(1+Assumptions!$C$21)^K7</f>
        <v>0.398324970148878</v>
      </c>
      <c r="L8" s="33" t="n">
        <f aca="false">1/(1+Assumptions!$C$21)^L7</f>
        <v>0.355031775054815</v>
      </c>
      <c r="M8" s="33" t="n">
        <f aca="false">1/(1+Assumptions!$C$21)^M7</f>
        <v>0.31644403626381</v>
      </c>
    </row>
    <row r="9" customFormat="false" ht="15" hidden="false" customHeight="true" outlineLevel="0" collapsed="false">
      <c r="B9" s="34" t="s">
        <v>97</v>
      </c>
      <c r="C9" s="35" t="n">
        <f aca="false">C6*C8</f>
        <v>-3300000</v>
      </c>
      <c r="D9" s="35" t="n">
        <f aca="false">D6*D8</f>
        <v>511471.791469559</v>
      </c>
      <c r="E9" s="35" t="n">
        <f aca="false">E6*E8</f>
        <v>517624.512561349</v>
      </c>
      <c r="F9" s="35" t="n">
        <f aca="false">F6*F8</f>
        <v>525736.010256983</v>
      </c>
      <c r="G9" s="35" t="n">
        <f aca="false">G6*G8</f>
        <v>553272.046048197</v>
      </c>
      <c r="H9" s="35" t="n">
        <f aca="false">H6*H8</f>
        <v>523063.605181586</v>
      </c>
      <c r="I9" s="35" t="n">
        <f aca="false">I6*I8</f>
        <v>494753.086075592</v>
      </c>
      <c r="J9" s="35" t="n">
        <f aca="false">J6*J8</f>
        <v>468198.331409231</v>
      </c>
      <c r="K9" s="35" t="n">
        <f aca="false">K6*K8</f>
        <v>443269.569830656</v>
      </c>
      <c r="L9" s="35" t="n">
        <f aca="false">L6*L8</f>
        <v>419848.269411622</v>
      </c>
      <c r="M9" s="35" t="n">
        <f aca="false">M6*M8</f>
        <v>397826.480622065</v>
      </c>
    </row>
    <row r="11" customFormat="false" ht="15" hidden="false" customHeight="true" outlineLevel="0" collapsed="false">
      <c r="B11" s="27" t="s">
        <v>98</v>
      </c>
      <c r="C11" s="28" t="n">
        <f aca="false">SUM(C9:M9)</f>
        <v>1555063.70286684</v>
      </c>
    </row>
    <row r="12" customFormat="false" ht="15" hidden="false" customHeight="true" outlineLevel="0" collapsed="false">
      <c r="B12" s="19" t="s">
        <v>99</v>
      </c>
      <c r="C12" s="36" t="n">
        <f aca="false">C11/Assumptions!$C$17</f>
        <v>97252.2640942364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13" min="3" style="1" width="11"/>
  </cols>
  <sheetData>
    <row r="2" customFormat="false" ht="24" hidden="false" customHeight="true" outlineLevel="0" collapsed="false">
      <c r="B2" s="2" t="s">
        <v>100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B3" s="37" t="s">
        <v>101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5" customFormat="false" ht="15" hidden="false" customHeight="true" outlineLevel="0" collapsed="false">
      <c r="B5" s="24" t="s">
        <v>64</v>
      </c>
      <c r="C5" s="25" t="s">
        <v>65</v>
      </c>
      <c r="D5" s="25" t="s">
        <v>66</v>
      </c>
      <c r="E5" s="25" t="s">
        <v>67</v>
      </c>
      <c r="F5" s="25" t="s">
        <v>68</v>
      </c>
      <c r="G5" s="25" t="s">
        <v>69</v>
      </c>
      <c r="H5" s="25" t="s">
        <v>70</v>
      </c>
      <c r="I5" s="25" t="s">
        <v>71</v>
      </c>
      <c r="J5" s="25" t="s">
        <v>72</v>
      </c>
      <c r="K5" s="25" t="s">
        <v>73</v>
      </c>
      <c r="L5" s="25" t="s">
        <v>74</v>
      </c>
      <c r="M5" s="25" t="s">
        <v>75</v>
      </c>
    </row>
    <row r="6" customFormat="false" ht="15" hidden="false" customHeight="true" outlineLevel="0" collapsed="false">
      <c r="B6" s="29" t="s">
        <v>94</v>
      </c>
      <c r="C6" s="30" t="n">
        <f aca="false">CashFlow_MXN!$C$9</f>
        <v>-3300000</v>
      </c>
      <c r="D6" s="30" t="n">
        <f aca="false">CashFlow_MXN!$C$20</f>
        <v>573841.555555556</v>
      </c>
      <c r="E6" s="30" t="n">
        <f aca="false">CashFlow_MXN!$D$20</f>
        <v>651561.555555556</v>
      </c>
      <c r="F6" s="30" t="n">
        <f aca="false">CashFlow_MXN!$E$20</f>
        <v>742469.555555556</v>
      </c>
      <c r="G6" s="30" t="n">
        <f aca="false">CashFlow_MXN!$F$20</f>
        <v>876637.333333334</v>
      </c>
      <c r="H6" s="30" t="n">
        <f aca="false">CashFlow_MXN!$G$20</f>
        <v>929835.333333334</v>
      </c>
      <c r="I6" s="30" t="n">
        <f aca="false">CashFlow_MXN!$H$20</f>
        <v>986757.333333334</v>
      </c>
      <c r="J6" s="30" t="n">
        <f aca="false">CashFlow_MXN!$I$20</f>
        <v>1047664</v>
      </c>
      <c r="K6" s="30" t="n">
        <f aca="false">CashFlow_MXN!$J$20</f>
        <v>1112834</v>
      </c>
      <c r="L6" s="30" t="n">
        <f aca="false">CashFlow_MXN!$K$20</f>
        <v>1182565.33333333</v>
      </c>
      <c r="M6" s="30" t="n">
        <f aca="false">CashFlow_MXN!$L$20</f>
        <v>1257178</v>
      </c>
    </row>
    <row r="7" customFormat="false" ht="15" hidden="false" customHeight="true" outlineLevel="0" collapsed="false">
      <c r="B7" s="5" t="s">
        <v>95</v>
      </c>
      <c r="C7" s="32" t="n">
        <v>0</v>
      </c>
      <c r="D7" s="32" t="n">
        <v>1</v>
      </c>
      <c r="E7" s="32" t="n">
        <v>2</v>
      </c>
      <c r="F7" s="32" t="n">
        <v>3</v>
      </c>
      <c r="G7" s="32" t="n">
        <v>4</v>
      </c>
      <c r="H7" s="32" t="n">
        <v>5</v>
      </c>
      <c r="I7" s="32" t="n">
        <v>6</v>
      </c>
      <c r="J7" s="32" t="n">
        <v>7</v>
      </c>
      <c r="K7" s="32" t="n">
        <v>8</v>
      </c>
      <c r="L7" s="32" t="n">
        <v>9</v>
      </c>
      <c r="M7" s="32" t="n">
        <v>10</v>
      </c>
    </row>
    <row r="8" customFormat="false" ht="15" hidden="false" customHeight="true" outlineLevel="0" collapsed="false">
      <c r="B8" s="5" t="s">
        <v>102</v>
      </c>
      <c r="C8" s="38" t="n">
        <f aca="false">Assumptions!$C$17</f>
        <v>15.99</v>
      </c>
      <c r="D8" s="38" t="n">
        <f aca="false">Assumptions!$C$17*((1+Assumptions!$C$15)/(1+Assumptions!$C$16))^D7</f>
        <v>16.6109708737864</v>
      </c>
      <c r="E8" s="38" t="n">
        <f aca="false">Assumptions!$C$17*((1+Assumptions!$C$15)/(1+Assumptions!$C$16))^E7</f>
        <v>17.2560571213121</v>
      </c>
      <c r="F8" s="38" t="n">
        <f aca="false">Assumptions!$C$17*((1+Assumptions!$C$15)/(1+Assumptions!$C$16))^F7</f>
        <v>17.9261952619456</v>
      </c>
      <c r="G8" s="38" t="n">
        <f aca="false">Assumptions!$C$17*((1+Assumptions!$C$15)/(1+Assumptions!$C$16))^G7</f>
        <v>18.6223581847396</v>
      </c>
      <c r="H8" s="38" t="n">
        <f aca="false">Assumptions!$C$17*((1+Assumptions!$C$15)/(1+Assumptions!$C$16))^H7</f>
        <v>19.345556560846</v>
      </c>
      <c r="I8" s="38" t="n">
        <f aca="false">Assumptions!$C$17*((1+Assumptions!$C$15)/(1+Assumptions!$C$16))^I7</f>
        <v>20.0968403107817</v>
      </c>
      <c r="J8" s="38" t="n">
        <f aca="false">Assumptions!$C$17*((1+Assumptions!$C$15)/(1+Assumptions!$C$16))^J7</f>
        <v>20.8773001286762</v>
      </c>
      <c r="K8" s="38" t="n">
        <f aca="false">Assumptions!$C$17*((1+Assumptions!$C$15)/(1+Assumptions!$C$16))^K7</f>
        <v>21.6880690657121</v>
      </c>
      <c r="L8" s="38" t="n">
        <f aca="false">Assumptions!$C$17*((1+Assumptions!$C$15)/(1+Assumptions!$C$16))^L7</f>
        <v>22.5303241750602</v>
      </c>
      <c r="M8" s="38" t="n">
        <f aca="false">Assumptions!$C$17*((1+Assumptions!$C$15)/(1+Assumptions!$C$16))^M7</f>
        <v>23.4052882206936</v>
      </c>
    </row>
    <row r="9" customFormat="false" ht="15" hidden="false" customHeight="true" outlineLevel="0" collapsed="false">
      <c r="B9" s="34" t="s">
        <v>103</v>
      </c>
      <c r="C9" s="39" t="n">
        <f aca="false">C6/C8</f>
        <v>-206378.986866792</v>
      </c>
      <c r="D9" s="39" t="n">
        <f aca="false">D6/D8</f>
        <v>34545.9371349046</v>
      </c>
      <c r="E9" s="39" t="n">
        <f aca="false">E6/E8</f>
        <v>37758.4259819611</v>
      </c>
      <c r="F9" s="39" t="n">
        <f aca="false">F6/F8</f>
        <v>41418.1338932361</v>
      </c>
      <c r="G9" s="39" t="n">
        <f aca="false">G6/G8</f>
        <v>47074.4534412247</v>
      </c>
      <c r="H9" s="39" t="n">
        <f aca="false">H6/H8</f>
        <v>48064.5429046613</v>
      </c>
      <c r="I9" s="39" t="n">
        <f aca="false">I6/I8</f>
        <v>49100.1231076086</v>
      </c>
      <c r="J9" s="39" t="n">
        <f aca="false">J6/J8</f>
        <v>50181.9676654921</v>
      </c>
      <c r="K9" s="39" t="n">
        <f aca="false">K6/K8</f>
        <v>51310.8841837534</v>
      </c>
      <c r="L9" s="39" t="n">
        <f aca="false">L6/L8</f>
        <v>52487.7194018526</v>
      </c>
      <c r="M9" s="39" t="n">
        <f aca="false">M6/M8</f>
        <v>53713.4167349615</v>
      </c>
    </row>
    <row r="10" customFormat="false" ht="15" hidden="false" customHeight="true" outlineLevel="0" collapsed="false">
      <c r="B10" s="5" t="s">
        <v>104</v>
      </c>
      <c r="C10" s="33" t="n">
        <v>1</v>
      </c>
      <c r="D10" s="33" t="n">
        <f aca="false">1/(1+Assumptions!$C$14)^D7</f>
        <v>0.925925925925926</v>
      </c>
      <c r="E10" s="33" t="n">
        <f aca="false">1/(1+Assumptions!$C$14)^E7</f>
        <v>0.857338820301783</v>
      </c>
      <c r="F10" s="33" t="n">
        <f aca="false">1/(1+Assumptions!$C$14)^F7</f>
        <v>0.79383224102017</v>
      </c>
      <c r="G10" s="33" t="n">
        <f aca="false">1/(1+Assumptions!$C$14)^G7</f>
        <v>0.735029852796453</v>
      </c>
      <c r="H10" s="33" t="n">
        <f aca="false">1/(1+Assumptions!$C$14)^H7</f>
        <v>0.680583197033753</v>
      </c>
      <c r="I10" s="33" t="n">
        <f aca="false">1/(1+Assumptions!$C$14)^I7</f>
        <v>0.630169626883105</v>
      </c>
      <c r="J10" s="33" t="n">
        <f aca="false">1/(1+Assumptions!$C$14)^J7</f>
        <v>0.583490395262134</v>
      </c>
      <c r="K10" s="33" t="n">
        <f aca="false">1/(1+Assumptions!$C$14)^K7</f>
        <v>0.540268884501976</v>
      </c>
      <c r="L10" s="33" t="n">
        <f aca="false">1/(1+Assumptions!$C$14)^L7</f>
        <v>0.500248967131459</v>
      </c>
      <c r="M10" s="33" t="n">
        <f aca="false">1/(1+Assumptions!$C$14)^M7</f>
        <v>0.463193488084684</v>
      </c>
    </row>
    <row r="11" customFormat="false" ht="15" hidden="false" customHeight="true" outlineLevel="0" collapsed="false">
      <c r="B11" s="34" t="s">
        <v>105</v>
      </c>
      <c r="C11" s="39" t="n">
        <f aca="false">C9*C10</f>
        <v>-206378.986866792</v>
      </c>
      <c r="D11" s="39" t="n">
        <f aca="false">D9*D10</f>
        <v>31986.9788286153</v>
      </c>
      <c r="E11" s="39" t="n">
        <f aca="false">E9*E10</f>
        <v>32371.7643878267</v>
      </c>
      <c r="F11" s="39" t="n">
        <f aca="false">F9*F10</f>
        <v>32879.050047341</v>
      </c>
      <c r="G11" s="39" t="n">
        <f aca="false">G9*G10</f>
        <v>34601.1285833769</v>
      </c>
      <c r="H11" s="39" t="n">
        <f aca="false">H9*H10</f>
        <v>32711.9202740204</v>
      </c>
      <c r="I11" s="39" t="n">
        <f aca="false">I9*I10</f>
        <v>30941.4062586362</v>
      </c>
      <c r="J11" s="39" t="n">
        <f aca="false">J9*J10</f>
        <v>29280.6961481696</v>
      </c>
      <c r="K11" s="39" t="n">
        <f aca="false">K9*K10</f>
        <v>27721.6741607665</v>
      </c>
      <c r="L11" s="39" t="n">
        <f aca="false">L9*L10</f>
        <v>26256.9274178626</v>
      </c>
      <c r="M11" s="39" t="n">
        <f aca="false">M9*M10</f>
        <v>24879.7048544131</v>
      </c>
    </row>
    <row r="13" customFormat="false" ht="15" hidden="false" customHeight="true" outlineLevel="0" collapsed="false">
      <c r="B13" s="19" t="s">
        <v>106</v>
      </c>
      <c r="C13" s="36" t="n">
        <f aca="false">SUM(C11:M11)</f>
        <v>97252.2640942366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12" min="3" style="1" width="11"/>
  </cols>
  <sheetData>
    <row r="2" customFormat="false" ht="24" hidden="false" customHeight="true" outlineLevel="0" collapsed="false">
      <c r="B2" s="2" t="s">
        <v>107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24" t="s">
        <v>64</v>
      </c>
      <c r="C4" s="25" t="s">
        <v>66</v>
      </c>
      <c r="D4" s="25" t="s">
        <v>67</v>
      </c>
      <c r="E4" s="25" t="s">
        <v>68</v>
      </c>
      <c r="F4" s="25" t="s">
        <v>69</v>
      </c>
      <c r="G4" s="25" t="s">
        <v>70</v>
      </c>
      <c r="H4" s="25" t="s">
        <v>71</v>
      </c>
      <c r="I4" s="25" t="s">
        <v>72</v>
      </c>
      <c r="J4" s="25" t="s">
        <v>73</v>
      </c>
      <c r="K4" s="25" t="s">
        <v>74</v>
      </c>
      <c r="L4" s="25" t="s">
        <v>75</v>
      </c>
    </row>
    <row r="5" customFormat="false" ht="15" hidden="false" customHeight="true" outlineLevel="0" collapsed="false">
      <c r="B5" s="5" t="s">
        <v>108</v>
      </c>
      <c r="C5" s="40" t="n">
        <v>3360000</v>
      </c>
      <c r="D5" s="40" t="n">
        <v>3774960</v>
      </c>
      <c r="E5" s="40" t="n">
        <v>4250785</v>
      </c>
      <c r="F5" s="40" t="n">
        <v>4797366</v>
      </c>
      <c r="G5" s="40" t="n">
        <v>5133182</v>
      </c>
      <c r="H5" s="40" t="n">
        <v>5492505</v>
      </c>
      <c r="I5" s="40" t="n">
        <v>5876980</v>
      </c>
      <c r="J5" s="40" t="n">
        <v>6288369</v>
      </c>
      <c r="K5" s="40" t="n">
        <v>6728555</v>
      </c>
      <c r="L5" s="40" t="n">
        <v>7199553</v>
      </c>
    </row>
    <row r="6" customFormat="false" ht="15" hidden="false" customHeight="true" outlineLevel="0" collapsed="false">
      <c r="B6" s="5" t="s">
        <v>109</v>
      </c>
      <c r="C6" s="40" t="n">
        <v>2632571</v>
      </c>
      <c r="D6" s="40" t="n">
        <v>2930951</v>
      </c>
      <c r="E6" s="40" t="n">
        <v>3270414</v>
      </c>
      <c r="F6" s="40" t="n">
        <v>3657410</v>
      </c>
      <c r="G6" s="40" t="n">
        <v>3913429</v>
      </c>
      <c r="H6" s="40" t="n">
        <v>4187369</v>
      </c>
      <c r="I6" s="40" t="n">
        <v>4480484</v>
      </c>
      <c r="J6" s="40" t="n">
        <v>4794118</v>
      </c>
      <c r="K6" s="40" t="n">
        <v>5129707</v>
      </c>
      <c r="L6" s="40" t="n">
        <v>5488786</v>
      </c>
    </row>
    <row r="7" customFormat="false" ht="15" hidden="false" customHeight="true" outlineLevel="0" collapsed="false">
      <c r="B7" s="27" t="s">
        <v>110</v>
      </c>
      <c r="C7" s="28" t="n">
        <f aca="false">C5-C6</f>
        <v>727429</v>
      </c>
      <c r="D7" s="28" t="n">
        <f aca="false">D5-D6</f>
        <v>844009</v>
      </c>
      <c r="E7" s="28" t="n">
        <f aca="false">E5-E6</f>
        <v>980371</v>
      </c>
      <c r="F7" s="28" t="n">
        <f aca="false">F5-F6</f>
        <v>1139956</v>
      </c>
      <c r="G7" s="28" t="n">
        <f aca="false">G5-G6</f>
        <v>1219753</v>
      </c>
      <c r="H7" s="28" t="n">
        <f aca="false">H5-H6</f>
        <v>1305136</v>
      </c>
      <c r="I7" s="28" t="n">
        <f aca="false">I5-I6</f>
        <v>1396496</v>
      </c>
      <c r="J7" s="28" t="n">
        <f aca="false">J5-J6</f>
        <v>1494251</v>
      </c>
      <c r="K7" s="28" t="n">
        <f aca="false">K5-K6</f>
        <v>1598848</v>
      </c>
      <c r="L7" s="28" t="n">
        <f aca="false">L5-L6</f>
        <v>1710767</v>
      </c>
    </row>
    <row r="9" customFormat="false" ht="15" hidden="false" customHeight="true" outlineLevel="0" collapsed="false">
      <c r="B9" s="41" t="s">
        <v>111</v>
      </c>
      <c r="C9" s="41"/>
      <c r="D9" s="41"/>
      <c r="E9" s="41"/>
      <c r="F9" s="41"/>
      <c r="G9" s="41"/>
      <c r="H9" s="41"/>
      <c r="I9" s="41"/>
      <c r="J9" s="41"/>
      <c r="K9" s="41"/>
      <c r="L9" s="41"/>
    </row>
  </sheetData>
  <mergeCells count="2">
    <mergeCell ref="B2:L2"/>
    <mergeCell ref="B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2026-07-06T09:05:45Z</dcterms:created>
  <dc:creator>openpyxl</dc:creator>
  <dc:description/>
  <dc:language>en-US</dc:language>
  <cp:lastModifiedBy/>
  <dcterms:modified xsi:type="dcterms:W3CDTF">2026-07-06T09:06:27Z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