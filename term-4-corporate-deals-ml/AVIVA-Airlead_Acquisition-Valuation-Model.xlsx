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adMe_Findings" sheetId="2" state="visible" r:id="rId4"/>
    <sheet name="Valuation" sheetId="3" state="visible" r:id="rId5"/>
    <sheet name="DCF_Base" sheetId="4" state="visible" r:id="rId6"/>
    <sheet name="Synergies" sheetId="5" state="visible" r:id="rId7"/>
    <sheet name="Comps" sheetId="6" state="visible" r:id="rId8"/>
    <sheet name="LBO_Deb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<sst xmlns="http://schemas.openxmlformats.org/spreadsheetml/2006/main" count="191" uniqueCount="173">
  <si>
    <t xml:space="preserve">AVIVA / Airlead  —  Key Assumptions &amp; Inputs</t>
  </si>
  <si>
    <t xml:space="preserve">Cost of Capital (CAPM / WACC)</t>
  </si>
  <si>
    <t xml:space="preserve">Risk-free rate (5.50% debt yield − 1.25% spread)</t>
  </si>
  <si>
    <t xml:space="preserve">Case p.2: 5.50% = 125bp over 10yr UST</t>
  </si>
  <si>
    <t xml:space="preserve">Equity market risk premium (ERP)</t>
  </si>
  <si>
    <t xml:space="preserve">Case p.2: Ripsy uses 5% ERP</t>
  </si>
  <si>
    <t xml:space="preserve">Comparable average levered beta</t>
  </si>
  <si>
    <t xml:space="preserve">Exhibit 2: average beta = 1.00</t>
  </si>
  <si>
    <t xml:space="preserve">Comparable average D/E</t>
  </si>
  <si>
    <t xml:space="preserve">Exhibit 2: average D/E = 40.1%</t>
  </si>
  <si>
    <t xml:space="preserve">Tax rate</t>
  </si>
  <si>
    <t xml:space="preserve">Exhibit 1: tax 40%</t>
  </si>
  <si>
    <t xml:space="preserve">Unlevered beta = levβ/(1+(1-t)*D/E)</t>
  </si>
  <si>
    <t xml:space="preserve">Target Debt/Value</t>
  </si>
  <si>
    <t xml:space="preserve">Case p.2: D/V ≤ 50% (5.0x EBITDA)</t>
  </si>
  <si>
    <t xml:space="preserve">Target Debt/Equity = (D/V)/(1-D/V)</t>
  </si>
  <si>
    <t xml:space="preserve">Relevered beta = unlevβ*(1+(1-t)*D/E)</t>
  </si>
  <si>
    <t xml:space="preserve">Cost of equity Ke = Rf + β*ERP</t>
  </si>
  <si>
    <t xml:space="preserve">Pre-tax cost of debt Kd</t>
  </si>
  <si>
    <t xml:space="preserve">Case p.2: AVIVA rate ~5.50%, BBB+</t>
  </si>
  <si>
    <t xml:space="preserve">After-tax Kd = Kd*(1-t)</t>
  </si>
  <si>
    <t xml:space="preserve">WACC = (E/V)*Ke + (D/V)*Kd*(1-t)</t>
  </si>
  <si>
    <t xml:space="preserve">Terminal Value &amp; Deal Inputs</t>
  </si>
  <si>
    <t xml:space="preserve">Perpetuity growth rate (g)</t>
  </si>
  <si>
    <t xml:space="preserve">Per user: = equipment revenue growth</t>
  </si>
  <si>
    <t xml:space="preserve">Terminal EV/EBITDA multiple (market method)</t>
  </si>
  <si>
    <t xml:space="preserve">Case p.2: D/V target 5.0x EBITDA</t>
  </si>
  <si>
    <t xml:space="preserve">Comparable median EV/EBITDA (cross-check)</t>
  </si>
  <si>
    <t xml:space="preserve">Link: Comps tab</t>
  </si>
  <si>
    <t xml:space="preserve">Acquisition debt / EBITDA (entry leverage)</t>
  </si>
  <si>
    <t xml:space="preserve">Case p.2</t>
  </si>
  <si>
    <t xml:space="preserve">Airlead operating EBITDA 2016 ($MM)</t>
  </si>
  <si>
    <t xml:space="preserve">Opening net debt 2017 ($MM)</t>
  </si>
  <si>
    <t xml:space="preserve">Exhibit 3</t>
  </si>
  <si>
    <t xml:space="preserve">Private-Company Discounts / Premiums</t>
  </si>
  <si>
    <t xml:space="preserve">Illiquidity (DLOM) discount</t>
  </si>
  <si>
    <t xml:space="preserve">Case p.2: academic ~35%</t>
  </si>
  <si>
    <t xml:space="preserve">Control premium</t>
  </si>
  <si>
    <t xml:space="preserve">Case p.2: academic ~30%</t>
  </si>
  <si>
    <t xml:space="preserve">BBB+ default probability</t>
  </si>
  <si>
    <t xml:space="preserve">Exhibit 4: BBB = 2.30%</t>
  </si>
  <si>
    <t xml:space="preserve">Bankruptcy cost (% of unlevered value)</t>
  </si>
  <si>
    <t xml:space="preserve">Case p.2: direct+indirect up to 25%</t>
  </si>
  <si>
    <t xml:space="preserve">Blue = input | Black = formula | Green = cross-sheet link. Terminal value = average of 5.0% growth perpetuity AND 5.0x EBITDA market multiple. Lens = acquirer view (standalone DCF + PV of synergies), then expected bankruptcy cost, control premium and illiquidity discount.</t>
  </si>
  <si>
    <t xml:space="preserve">AVIVA / Airlead — How to Read This Model &amp; Key Judgment Calls</t>
  </si>
  <si>
    <t xml:space="preserve">TAB GUIDE</t>
  </si>
  <si>
    <t xml:space="preserve">•  Assumptions — all blue inputs (WACC build, terminal value, discounts). Change these to flex the model.</t>
  </si>
  <si>
    <t xml:space="preserve">•  Valuation — the answer: standalone EV + synergies → bankruptcy adj → net debt → control premium → DLOM → equity value.</t>
  </si>
  <si>
    <t xml:space="preserve">•  DCF_Base — Airlead standalone unlevered DCF (Exhibit 1 operating model). Terminal value via BOTH growth perpetuity and 5.0x EBITDA.</t>
  </si>
  <si>
    <t xml:space="preserve">•  Synergies — backhaul savings + cross-sell revenue, after-tax, with a conservative synergy terminal growth input.</t>
  </si>
  <si>
    <t xml:space="preserve">•  Comps — Exhibit 2, with computed EV/EBITDA (avg ~9.2x, median ~10.3x) as the multiple cross-check.</t>
  </si>
  <si>
    <t xml:space="preserve">•  LBO_Debt — entry leverage (5.0x EBITDA) and the Exhibit 3 debt schedule for credit/feasibility context.</t>
  </si>
  <si>
    <t xml:space="preserve">HEADLINE NUMBERS (at current inputs)</t>
  </si>
  <si>
    <t xml:space="preserve">•  WACC ≈ 7.0%  (Ke 10.7% via relevered β 1.29; after-tax Kd 3.3%; 50/50 capital structure)</t>
  </si>
  <si>
    <t xml:space="preserve">•  Standalone Enterprise Value ≈ $10.3B</t>
  </si>
  <si>
    <t xml:space="preserve">•  PV of Synergies ≈ $7.9B</t>
  </si>
  <si>
    <t xml:space="preserve">•  Combined EV ≈ $18.1B → less expected bankruptcy cost ≈ $2.2B → less net debt $3.8B</t>
  </si>
  <si>
    <t xml:space="preserve">•  Equity (pre-adjustment) ≈ $12.2B → +30% control, −35% DLOM → FINAL EQUITY ≈ $10.7B</t>
  </si>
  <si>
    <t xml:space="preserve">⚠ FOUR JUDGMENT CALLS THE CASE WANTS YOU TO DEFEND (read before presenting)</t>
  </si>
  <si>
    <t xml:space="preserve">1. The two terminal-value methods disagree ~2x.</t>
  </si>
  <si>
    <t xml:space="preserve">Growth perpetuity gives a 2021 TV of ~$16.8B; the 5.0x EBITDA market multiple gives ~$8.4B. The model AVERAGES them ($12.6B). The divergence happens because g (5%) sits very close to WACC (7%), so (WACC−g)=2% inflates the Gordon TV to a 51x FCF multiple. DEFENSIBLE POSITION: lean on the market multiple (consistent with comps at 9–10x EV/EBITDA) and treat the growth-perpetuity number as an upper bound. Lowering g to 2–3% collapses the gap.</t>
  </si>
  <si>
    <t xml:space="preserve">2. Synergies look large vs the standalone business (~77% of EV).</t>
  </si>
  <si>
    <t xml:space="preserve">The case gives GROSS incremental cross-sell revenue ($156→704MM), not net margin. Treating it as after-tax cash flow and then capitalizing it as a perpetuity overstates value. A more conservative treatment: apply an incremental EBIT margin to cross-sell revenue (it carries network/service cost), or cap the synergy terminal value (done here at 2% growth). Backhaul savings ($0→76MM) are cleaner and more reliable.</t>
  </si>
  <si>
    <t xml:space="preserve">3. Bankruptcy cost treatment is a modeling choice.</t>
  </si>
  <si>
    <t xml:space="preserve">Here: expected cost = default probability (BBB 2.30%, Exhibit 4) × bankruptcy cost (25% of value) × EV. The case alternatively frames it as 5%–25% of the UNLEVERED firm value applied directly. Both are reasonable; this one is probability-weighted and therefore smaller. Swap the formula on the Valuation tab if your professor expects the direct-haircut version.</t>
  </si>
  <si>
    <t xml:space="preserve">4. Control premium and DLOM partly offset.</t>
  </si>
  <si>
    <t xml:space="preserve">+30% control then −35% illiquidity nets to roughly −15% on equity. Order matters and both are point estimates from the case ranges (control 20–30%, illiquidity ~35%). For an acquirer buying 100% and controlling the asset, some argue the DLOM should be reduced or omitted. State your assumption explicitly.</t>
  </si>
  <si>
    <t xml:space="preserve">BOTTOM LINE</t>
  </si>
  <si>
    <t xml:space="preserve">The standalone DCF (~$10.3B EV) is the solid anchor. The headline equity value swings most on (a) the terminal-value method you trust and (b) how you net the cross-sell revenue. Present a RANGE — roughly $8–13B equity — rather than a single point, and walk the audience through the four calls above. That is the analysis this case is actually testing.</t>
  </si>
  <si>
    <t xml:space="preserve">Valuation Summary — Acquirer View ($MM)</t>
  </si>
  <si>
    <t xml:space="preserve">A. Enterprise Value Build</t>
  </si>
  <si>
    <t xml:space="preserve">Standalone Enterprise Value (DCF base)</t>
  </si>
  <si>
    <t xml:space="preserve">(+) PV of Synergies (backhaul + cross-sell)</t>
  </si>
  <si>
    <t xml:space="preserve">Combined Enterprise Value (with synergies)</t>
  </si>
  <si>
    <t xml:space="preserve">B. Distress / Bankruptcy Adjustment</t>
  </si>
  <si>
    <t xml:space="preserve">Expected bankruptcy cost = PD × Cost% × EV</t>
  </si>
  <si>
    <t xml:space="preserve">PD: Exhibit 4 (BBB 2.30%); cost up to 25%</t>
  </si>
  <si>
    <t xml:space="preserve">Enterprise Value, net of expected distress</t>
  </si>
  <si>
    <t xml:space="preserve">C. Bridge to Equity Value</t>
  </si>
  <si>
    <t xml:space="preserve">(–) Net Debt (opening 2017)</t>
  </si>
  <si>
    <t xml:space="preserve">Equity Value (pre private-co adjustments)</t>
  </si>
  <si>
    <t xml:space="preserve">D. Private-Company Adjustments</t>
  </si>
  <si>
    <t xml:space="preserve">(+) Control premium</t>
  </si>
  <si>
    <t xml:space="preserve">Academic ~30%</t>
  </si>
  <si>
    <t xml:space="preserve">Equity Value incl. control premium</t>
  </si>
  <si>
    <t xml:space="preserve">(–) Illiquidity / DLOM discount</t>
  </si>
  <si>
    <t xml:space="preserve">Academic ~35%</t>
  </si>
  <si>
    <t xml:space="preserve">FINAL EQUITY VALUE (private, acquirer view)</t>
  </si>
  <si>
    <t xml:space="preserve">E. Implied Metrics (sanity check)</t>
  </si>
  <si>
    <t xml:space="preserve">Implied EV / 2016 EBITDA</t>
  </si>
  <si>
    <t xml:space="preserve">Implied EV / 2017 EBITDA</t>
  </si>
  <si>
    <t xml:space="preserve">Synergies as % of standalone EV</t>
  </si>
  <si>
    <t xml:space="preserve">Total discount haircut vs pre-adj equity</t>
  </si>
  <si>
    <t xml:space="preserve">Airlead — Standalone DCF (Base Case, $MM)</t>
  </si>
  <si>
    <t xml:space="preserve">Fiscal Year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</si>
  <si>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</si>
  <si>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</si>
  <si>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</si>
  <si>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</si>
  <si>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</si>
  <si>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Revenue</t>
  </si>
  <si>
    <t xml:space="preserve">Service Revenue</t>
  </si>
  <si>
    <t xml:space="preserve">Equipment Revenue</t>
  </si>
  <si>
    <t xml:space="preserve">Total Revenue</t>
  </si>
  <si>
    <t xml:space="preserve">Operating Expenses</t>
  </si>
  <si>
    <t xml:space="preserve">System Operating Expenses</t>
  </si>
  <si>
    <t xml:space="preserve">Equipment COGS</t>
  </si>
  <si>
    <t xml:space="preserve">Selling, General &amp; Administrative</t>
  </si>
  <si>
    <t xml:space="preserve">Depreciation &amp; Amortization</t>
  </si>
  <si>
    <t xml:space="preserve">EBIT</t>
  </si>
  <si>
    <t xml:space="preserve">Less: Tax on EBIT</t>
  </si>
  <si>
    <t xml:space="preserve">NOPAT (EBIAT)</t>
  </si>
  <si>
    <t xml:space="preserve">Free Cash Flow Build</t>
  </si>
  <si>
    <t xml:space="preserve">Add: D&amp;A</t>
  </si>
  <si>
    <t xml:space="preserve">Less: Capital Expenditures</t>
  </si>
  <si>
    <t xml:space="preserve">Less: Δ NWC (3% of Δ revenue)</t>
  </si>
  <si>
    <t xml:space="preserve">Unlevered Free Cash Flow</t>
  </si>
  <si>
    <t xml:space="preserve">Discounting (year-end convention)</t>
  </si>
  <si>
    <t xml:space="preserve">Discount period (yrs)</t>
  </si>
  <si>
    <t xml:space="preserve">Discount factor @ WACC</t>
  </si>
  <si>
    <t xml:space="preserve">PV of Unlevered FCF</t>
  </si>
  <si>
    <t xml:space="preserve">Terminal Value (end of 2021)</t>
  </si>
  <si>
    <t xml:space="preserve">TV — Gordon growth = FCF*(1+g)/(WACC-g)</t>
  </si>
  <si>
    <t xml:space="preserve">EBITDA 2021 (= EBIT + D&amp;A)</t>
  </si>
  <si>
    <t xml:space="preserve">TV — Market = EBITDA × EV/EBITDA</t>
  </si>
  <si>
    <t xml:space="preserve">Selected TV (avg of two methods)</t>
  </si>
  <si>
    <t xml:space="preserve">PV of Terminal Value</t>
  </si>
  <si>
    <t xml:space="preserve">Standalone Enterprise Value</t>
  </si>
  <si>
    <t xml:space="preserve">Sum PV of explicit FCF (2017–21)</t>
  </si>
  <si>
    <t xml:space="preserve">Enterprise Value — Standalone (Base)</t>
  </si>
  <si>
    <t xml:space="preserve">Synergies — Backhaul Savings + Cross-Sell ($MM)</t>
  </si>
  <si>
    <t xml:space="preserve">1. Backhaul Cost Savings (pre-tax)</t>
  </si>
  <si>
    <t xml:space="preserve">Backhaul Savings (pre-tax)</t>
  </si>
  <si>
    <t xml:space="preserve">2. Cross-Sell / Bundling Incremental Revenue</t>
  </si>
  <si>
    <t xml:space="preserve">Annual Incremental Revenue (pre-tax)</t>
  </si>
  <si>
    <t xml:space="preserve">Combined After-Tax Synergy Cash Flow</t>
  </si>
  <si>
    <t xml:space="preserve">Total pre-tax synergies</t>
  </si>
  <si>
    <t xml:space="preserve">After-tax synergy FCF = pre-tax*(1-t)</t>
  </si>
  <si>
    <t xml:space="preserve">PV of Synergies</t>
  </si>
  <si>
    <t xml:space="preserve">Discount period</t>
  </si>
  <si>
    <t xml:space="preserve">PV of after-tax synergies</t>
  </si>
  <si>
    <t xml:space="preserve">TV of synergies = AT*(1+g_syn)/(WACC-g_syn)</t>
  </si>
  <si>
    <t xml:space="preserve">PV of synergy terminal value</t>
  </si>
  <si>
    <t xml:space="preserve">Total PV of Synergies</t>
  </si>
  <si>
    <t xml:space="preserve">Synergy terminal growth (conservative input)</t>
  </si>
  <si>
    <t xml:space="preserve">← lower than 5% op. growth: synergies still ramping in 2021</t>
  </si>
  <si>
    <t xml:space="preserve">Exhibit 2 — Comparable Company Data ($MM)</t>
  </si>
  <si>
    <t xml:space="preserve">Company</t>
  </si>
  <si>
    <t xml:space="preserve">Equity MV</t>
  </si>
  <si>
    <t xml:space="preserve">Net Debt</t>
  </si>
  <si>
    <t xml:space="preserve">Debt/Value</t>
  </si>
  <si>
    <t xml:space="preserve">D/E</t>
  </si>
  <si>
    <t xml:space="preserve">Beta</t>
  </si>
  <si>
    <t xml:space="preserve">EBITDA</t>
  </si>
  <si>
    <t xml:space="preserve">Net Income</t>
  </si>
  <si>
    <t xml:space="preserve">EV/EBITDA</t>
  </si>
  <si>
    <t xml:space="preserve">Axel Mobile</t>
  </si>
  <si>
    <t xml:space="preserve">Wills Wireless</t>
  </si>
  <si>
    <t xml:space="preserve">Agile Mobile</t>
  </si>
  <si>
    <t xml:space="preserve">Big Mobile</t>
  </si>
  <si>
    <t xml:space="preserve">Rocky Comm</t>
  </si>
  <si>
    <t xml:space="preserve">Average</t>
  </si>
  <si>
    <t xml:space="preserve">Median</t>
  </si>
  <si>
    <t xml:space="preserve">median EV/EBITDA (cross-check)</t>
  </si>
  <si>
    <t xml:space="preserve">Acquisition Debt &amp; Leverage (LBO context, $MM)</t>
  </si>
  <si>
    <t xml:space="preserve">Entry acquisition debt = 5.0x EBITDA 2016</t>
  </si>
  <si>
    <t xml:space="preserve">Existing Debt Schedule (Exhibit 3, reference)</t>
  </si>
  <si>
    <t xml:space="preserve">Opening Debt</t>
  </si>
  <si>
    <t xml:space="preserve">Interest Paid</t>
  </si>
  <si>
    <t xml:space="preserve">Principal Repayment</t>
  </si>
  <si>
    <t xml:space="preserve">Closing Debt</t>
  </si>
  <si>
    <t xml:space="preserve">Implied interest rate</t>
  </si>
  <si>
    <t xml:space="preserve">Note: Entry leverage 5.0x EBITDA is paid toward industry norms (D/V ≤ 50%, BBB+). Acquisition debt is a single 10-yr amortizing tranche with a bullet at end of year 5. Interest tax shield is captured through WACC, so operations are valued unlevered in the DCF; this schedule supports credit/feasibility rather than re-discounting cash flows.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</si>
</sst>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\(0.0%\);\-"/>
    <numFmt numFmtId="166" formatCode="#,##0.00"/>
    <numFmt numFmtId="167" formatCode="0.00\x"/>
    <numFmt numFmtId="168" formatCode="\$#,##0.0;&quot;($&quot;#,##0.0\);\-"/>
    <numFmt numFmtId="169" formatCode="0"/>
    <numFmt numFmtId="170" formatCode="0.0000"/>
    <numFmt numFmtId="171" formatCode="0.0%"/>
    <numFmt numFmtId="172" formatCode="\$#,##0;&quot;($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8" min="3" style="1" width="13"/>
    <col collapsed="false" customWidth="true" hidden="false" outlineLevel="0" max="9" min="9" style="1" width="3"/>
    <col collapsed="false" customWidth="true" hidden="false" outlineLevel="0" max="10" min="10" style="1" width="46"/>
  </cols>
  <sheetData>
    <row r="2" customFormat="false" ht="25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  <c r="C5" s="5" t="n">
        <v>0.0425</v>
      </c>
      <c r="J5" s="6" t="s">
        <v>3</v>
      </c>
    </row>
    <row r="6" customFormat="false" ht="15" hidden="false" customHeight="true" outlineLevel="0" collapsed="false">
      <c r="B6" s="4" t="s">
        <v>4</v>
      </c>
      <c r="C6" s="5" t="n">
        <v>0.05</v>
      </c>
      <c r="J6" s="6" t="s">
        <v>5</v>
      </c>
    </row>
    <row r="7" customFormat="false" ht="15" hidden="false" customHeight="true" outlineLevel="0" collapsed="false">
      <c r="B7" s="4" t="s">
        <v>6</v>
      </c>
      <c r="C7" s="7" t="n">
        <v>1</v>
      </c>
      <c r="J7" s="6" t="s">
        <v>7</v>
      </c>
    </row>
    <row r="8" customFormat="false" ht="15" hidden="false" customHeight="true" outlineLevel="0" collapsed="false">
      <c r="B8" s="4" t="s">
        <v>8</v>
      </c>
      <c r="C8" s="5" t="n">
        <v>0.401</v>
      </c>
      <c r="J8" s="6" t="s">
        <v>9</v>
      </c>
    </row>
    <row r="9" customFormat="false" ht="15" hidden="false" customHeight="true" outlineLevel="0" collapsed="false">
      <c r="B9" s="4" t="s">
        <v>10</v>
      </c>
      <c r="C9" s="5" t="n">
        <v>0.4</v>
      </c>
      <c r="J9" s="6" t="s">
        <v>11</v>
      </c>
    </row>
    <row r="10" customFormat="false" ht="15" hidden="false" customHeight="true" outlineLevel="0" collapsed="false">
      <c r="B10" s="4" t="s">
        <v>12</v>
      </c>
      <c r="C10" s="8" t="n">
        <f aca="false">C7/(1+(1-C9)*C8)</f>
        <v>0.806061583104949</v>
      </c>
    </row>
    <row r="11" customFormat="false" ht="15" hidden="false" customHeight="true" outlineLevel="0" collapsed="false">
      <c r="B11" s="4" t="s">
        <v>13</v>
      </c>
      <c r="C11" s="5" t="n">
        <v>0.5</v>
      </c>
      <c r="J11" s="6" t="s">
        <v>14</v>
      </c>
    </row>
    <row r="12" customFormat="false" ht="15" hidden="false" customHeight="true" outlineLevel="0" collapsed="false">
      <c r="B12" s="4" t="s">
        <v>15</v>
      </c>
      <c r="C12" s="8" t="n">
        <f aca="false">C11/(1-C11)</f>
        <v>1</v>
      </c>
    </row>
    <row r="13" customFormat="false" ht="15" hidden="false" customHeight="true" outlineLevel="0" collapsed="false">
      <c r="B13" s="4" t="s">
        <v>16</v>
      </c>
      <c r="C13" s="8" t="n">
        <f aca="false">C10*(1+(1-C9)*C12)</f>
        <v>1.28969853296792</v>
      </c>
    </row>
    <row r="14" customFormat="false" ht="15" hidden="false" customHeight="true" outlineLevel="0" collapsed="false">
      <c r="B14" s="4" t="s">
        <v>17</v>
      </c>
      <c r="C14" s="9" t="n">
        <f aca="false">C5+C13*C6</f>
        <v>0.106984926648396</v>
      </c>
    </row>
    <row r="15" customFormat="false" ht="15" hidden="false" customHeight="true" outlineLevel="0" collapsed="false">
      <c r="B15" s="4" t="s">
        <v>18</v>
      </c>
      <c r="C15" s="5" t="n">
        <v>0.055</v>
      </c>
      <c r="J15" s="6" t="s">
        <v>19</v>
      </c>
    </row>
    <row r="16" customFormat="false" ht="15" hidden="false" customHeight="true" outlineLevel="0" collapsed="false">
      <c r="B16" s="4" t="s">
        <v>20</v>
      </c>
      <c r="C16" s="9" t="n">
        <f aca="false">C15*(1-C9)</f>
        <v>0.033</v>
      </c>
    </row>
    <row r="17" customFormat="false" ht="15" hidden="false" customHeight="true" outlineLevel="0" collapsed="false">
      <c r="B17" s="4" t="s">
        <v>21</v>
      </c>
      <c r="C17" s="9" t="n">
        <f aca="false">(1-C11)*C14+C11*C16</f>
        <v>0.069992463324198</v>
      </c>
    </row>
    <row r="20" customFormat="false" ht="15" hidden="false" customHeight="true" outlineLevel="0" collapsed="false">
      <c r="B20" s="3" t="s">
        <v>22</v>
      </c>
    </row>
    <row r="21" customFormat="false" ht="15" hidden="false" customHeight="true" outlineLevel="0" collapsed="false">
      <c r="B21" s="4" t="s">
        <v>23</v>
      </c>
      <c r="C21" s="5" t="n">
        <v>0.05</v>
      </c>
      <c r="J21" s="6" t="s">
        <v>24</v>
      </c>
    </row>
    <row r="22" customFormat="false" ht="15" hidden="false" customHeight="true" outlineLevel="0" collapsed="false">
      <c r="B22" s="4" t="s">
        <v>25</v>
      </c>
      <c r="C22" s="10" t="n">
        <v>5</v>
      </c>
      <c r="J22" s="6" t="s">
        <v>26</v>
      </c>
    </row>
    <row r="23" customFormat="false" ht="15" hidden="false" customHeight="true" outlineLevel="0" collapsed="false">
      <c r="B23" s="4" t="s">
        <v>27</v>
      </c>
      <c r="C23" s="11" t="n">
        <f aca="false">Comps!H13</f>
        <v>10.3385214007782</v>
      </c>
      <c r="J23" s="6" t="s">
        <v>28</v>
      </c>
    </row>
    <row r="24" customFormat="false" ht="15" hidden="false" customHeight="true" outlineLevel="0" collapsed="false">
      <c r="B24" s="4" t="s">
        <v>29</v>
      </c>
      <c r="C24" s="10" t="n">
        <v>5</v>
      </c>
      <c r="J24" s="6" t="s">
        <v>30</v>
      </c>
    </row>
    <row r="25" customFormat="false" ht="15" hidden="false" customHeight="true" outlineLevel="0" collapsed="false">
      <c r="B25" s="4" t="s">
        <v>31</v>
      </c>
      <c r="C25" s="12" t="n">
        <v>1033.3</v>
      </c>
      <c r="J25" s="6" t="s">
        <v>30</v>
      </c>
    </row>
    <row r="26" customFormat="false" ht="15" hidden="false" customHeight="true" outlineLevel="0" collapsed="false">
      <c r="B26" s="4" t="s">
        <v>32</v>
      </c>
      <c r="C26" s="12" t="n">
        <v>3758</v>
      </c>
      <c r="J26" s="6" t="s">
        <v>33</v>
      </c>
    </row>
    <row r="28" customFormat="false" ht="15" hidden="false" customHeight="true" outlineLevel="0" collapsed="false">
      <c r="B28" s="3" t="s">
        <v>34</v>
      </c>
    </row>
    <row r="29" customFormat="false" ht="15" hidden="false" customHeight="true" outlineLevel="0" collapsed="false">
      <c r="B29" s="4" t="s">
        <v>35</v>
      </c>
      <c r="C29" s="5" t="n">
        <v>0.35</v>
      </c>
      <c r="J29" s="6" t="s">
        <v>36</v>
      </c>
    </row>
    <row r="30" customFormat="false" ht="15" hidden="false" customHeight="true" outlineLevel="0" collapsed="false">
      <c r="B30" s="4" t="s">
        <v>37</v>
      </c>
      <c r="C30" s="5" t="n">
        <v>0.3</v>
      </c>
      <c r="J30" s="6" t="s">
        <v>38</v>
      </c>
    </row>
    <row r="31" customFormat="false" ht="15" hidden="false" customHeight="true" outlineLevel="0" collapsed="false">
      <c r="B31" s="4" t="s">
        <v>39</v>
      </c>
      <c r="C31" s="5" t="n">
        <v>0.023</v>
      </c>
      <c r="J31" s="6" t="s">
        <v>40</v>
      </c>
    </row>
    <row r="32" customFormat="false" ht="15" hidden="false" customHeight="true" outlineLevel="0" collapsed="false">
      <c r="B32" s="4" t="s">
        <v>41</v>
      </c>
      <c r="C32" s="5" t="n">
        <v>0.25</v>
      </c>
      <c r="J32" s="6" t="s">
        <v>42</v>
      </c>
    </row>
    <row r="34" customFormat="false" ht="15" hidden="false" customHeight="true" outlineLevel="0" collapsed="false">
      <c r="B34" s="13" t="s">
        <v>43</v>
      </c>
      <c r="C34" s="13"/>
      <c r="D34" s="13"/>
      <c r="E34" s="13"/>
      <c r="F34" s="13"/>
      <c r="G34" s="13"/>
      <c r="H34" s="13"/>
    </row>
    <row r="35" customFormat="false" ht="15" hidden="false" customHeight="true" outlineLevel="0" collapsed="false">
      <c r="B35" s="13"/>
      <c r="C35" s="13"/>
      <c r="D35" s="13"/>
      <c r="E35" s="13"/>
      <c r="F35" s="13"/>
      <c r="G35" s="13"/>
      <c r="H35" s="13"/>
    </row>
    <row r="36" customFormat="false" ht="15" hidden="false" customHeight="true" outlineLevel="0" collapsed="false">
      <c r="B36" s="13"/>
      <c r="C36" s="13"/>
      <c r="D36" s="13"/>
      <c r="E36" s="13"/>
      <c r="F36" s="13"/>
      <c r="G36" s="13"/>
      <c r="H36" s="13"/>
    </row>
    <row r="37" customFormat="false" ht="15" hidden="false" customHeight="true" outlineLevel="0" collapsed="false">
      <c r="B37" s="13"/>
      <c r="C37" s="13"/>
      <c r="D37" s="13"/>
      <c r="E37" s="13"/>
      <c r="F37" s="13"/>
      <c r="G37" s="13"/>
      <c r="H37" s="13"/>
    </row>
  </sheetData>
  <mergeCells count="2">
    <mergeCell ref="B2:H2"/>
    <mergeCell ref="B34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104"/>
  </cols>
  <sheetData>
    <row r="2" customFormat="false" ht="25.5" hidden="false" customHeight="true" outlineLevel="0" collapsed="false">
      <c r="B2" s="2" t="s">
        <v>44</v>
      </c>
      <c r="C2" s="2"/>
    </row>
    <row r="4" customFormat="false" ht="15" hidden="false" customHeight="true" outlineLevel="0" collapsed="false">
      <c r="B4" s="14" t="s">
        <v>45</v>
      </c>
      <c r="C4" s="14"/>
    </row>
    <row r="5" customFormat="false" ht="30" hidden="false" customHeight="true" outlineLevel="0" collapsed="false">
      <c r="B5" s="15" t="s">
        <v>46</v>
      </c>
      <c r="C5" s="15"/>
    </row>
    <row r="6" customFormat="false" ht="30" hidden="false" customHeight="true" outlineLevel="0" collapsed="false">
      <c r="B6" s="15" t="s">
        <v>47</v>
      </c>
      <c r="C6" s="15"/>
    </row>
    <row r="7" customFormat="false" ht="30" hidden="false" customHeight="true" outlineLevel="0" collapsed="false">
      <c r="B7" s="15" t="s">
        <v>48</v>
      </c>
      <c r="C7" s="15"/>
    </row>
    <row r="8" customFormat="false" ht="30" hidden="false" customHeight="true" outlineLevel="0" collapsed="false">
      <c r="B8" s="15" t="s">
        <v>49</v>
      </c>
      <c r="C8" s="15"/>
    </row>
    <row r="9" customFormat="false" ht="30" hidden="false" customHeight="true" outlineLevel="0" collapsed="false">
      <c r="B9" s="15" t="s">
        <v>50</v>
      </c>
      <c r="C9" s="15"/>
    </row>
    <row r="10" customFormat="false" ht="30" hidden="false" customHeight="true" outlineLevel="0" collapsed="false">
      <c r="B10" s="15" t="s">
        <v>51</v>
      </c>
      <c r="C10" s="15"/>
    </row>
    <row r="12" customFormat="false" ht="15" hidden="false" customHeight="true" outlineLevel="0" collapsed="false">
      <c r="B12" s="14" t="s">
        <v>52</v>
      </c>
      <c r="C12" s="14"/>
    </row>
    <row r="13" customFormat="false" ht="18" hidden="false" customHeight="true" outlineLevel="0" collapsed="false">
      <c r="B13" s="16" t="s">
        <v>53</v>
      </c>
      <c r="C13" s="16"/>
    </row>
    <row r="14" customFormat="false" ht="18" hidden="false" customHeight="true" outlineLevel="0" collapsed="false">
      <c r="B14" s="16" t="s">
        <v>54</v>
      </c>
      <c r="C14" s="16"/>
    </row>
    <row r="15" customFormat="false" ht="18" hidden="false" customHeight="true" outlineLevel="0" collapsed="false">
      <c r="B15" s="16" t="s">
        <v>55</v>
      </c>
      <c r="C15" s="16"/>
    </row>
    <row r="16" customFormat="false" ht="18" hidden="false" customHeight="true" outlineLevel="0" collapsed="false">
      <c r="B16" s="16" t="s">
        <v>56</v>
      </c>
      <c r="C16" s="16"/>
    </row>
    <row r="17" customFormat="false" ht="18" hidden="false" customHeight="true" outlineLevel="0" collapsed="false">
      <c r="B17" s="16" t="s">
        <v>57</v>
      </c>
      <c r="C17" s="16"/>
    </row>
    <row r="19" customFormat="false" ht="30" hidden="false" customHeight="true" outlineLevel="0" collapsed="false">
      <c r="B19" s="17" t="s">
        <v>58</v>
      </c>
      <c r="C19" s="17"/>
    </row>
    <row r="20" customFormat="false" ht="15.75" hidden="false" customHeight="true" outlineLevel="0" collapsed="false">
      <c r="B20" s="18" t="s">
        <v>59</v>
      </c>
      <c r="C20" s="18"/>
    </row>
    <row r="21" customFormat="false" ht="57.75" hidden="false" customHeight="true" outlineLevel="0" collapsed="false">
      <c r="B21" s="15" t="s">
        <v>60</v>
      </c>
      <c r="C21" s="15"/>
    </row>
    <row r="22" customFormat="false" ht="15.75" hidden="false" customHeight="true" outlineLevel="0" collapsed="false">
      <c r="B22" s="18" t="s">
        <v>61</v>
      </c>
      <c r="C22" s="18"/>
    </row>
    <row r="23" customFormat="false" ht="57.75" hidden="false" customHeight="true" outlineLevel="0" collapsed="false">
      <c r="B23" s="15" t="s">
        <v>62</v>
      </c>
      <c r="C23" s="15"/>
    </row>
    <row r="24" customFormat="false" ht="15.75" hidden="false" customHeight="true" outlineLevel="0" collapsed="false">
      <c r="B24" s="18" t="s">
        <v>63</v>
      </c>
      <c r="C24" s="18"/>
    </row>
    <row r="25" customFormat="false" ht="57.75" hidden="false" customHeight="true" outlineLevel="0" collapsed="false">
      <c r="B25" s="15" t="s">
        <v>64</v>
      </c>
      <c r="C25" s="15"/>
    </row>
    <row r="26" customFormat="false" ht="15.75" hidden="false" customHeight="true" outlineLevel="0" collapsed="false">
      <c r="B26" s="18" t="s">
        <v>65</v>
      </c>
      <c r="C26" s="18"/>
    </row>
    <row r="27" customFormat="false" ht="57.75" hidden="false" customHeight="true" outlineLevel="0" collapsed="false">
      <c r="B27" s="15" t="s">
        <v>66</v>
      </c>
      <c r="C27" s="15"/>
    </row>
    <row r="29" customFormat="false" ht="15" hidden="false" customHeight="true" outlineLevel="0" collapsed="false">
      <c r="B29" s="14" t="s">
        <v>67</v>
      </c>
      <c r="C29" s="14"/>
    </row>
    <row r="30" customFormat="false" ht="57.75" hidden="false" customHeight="true" outlineLevel="0" collapsed="false">
      <c r="B30" s="16" t="s">
        <v>68</v>
      </c>
      <c r="C30" s="16"/>
    </row>
  </sheetData>
  <mergeCells count="25">
    <mergeCell ref="B2:C2"/>
    <mergeCell ref="B4:C4"/>
    <mergeCell ref="B5:C5"/>
    <mergeCell ref="B6:C6"/>
    <mergeCell ref="B7:C7"/>
    <mergeCell ref="B8:C8"/>
    <mergeCell ref="B9:C9"/>
    <mergeCell ref="B10:C10"/>
    <mergeCell ref="B12:C12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3" min="3" style="1" width="16"/>
    <col collapsed="false" customWidth="true" hidden="false" outlineLevel="0" max="4" min="4" style="1" width="3"/>
    <col collapsed="false" customWidth="true" hidden="false" outlineLevel="0" max="5" min="5" style="1" width="46"/>
  </cols>
  <sheetData>
    <row r="2" customFormat="false" ht="25.5" hidden="false" customHeight="true" outlineLevel="0" collapsed="false">
      <c r="B2" s="2" t="s">
        <v>69</v>
      </c>
      <c r="C2" s="2"/>
    </row>
    <row r="4" customFormat="false" ht="15" hidden="false" customHeight="true" outlineLevel="0" collapsed="false">
      <c r="B4" s="3" t="s">
        <v>70</v>
      </c>
    </row>
    <row r="5" customFormat="false" ht="15" hidden="false" customHeight="true" outlineLevel="0" collapsed="false">
      <c r="B5" s="4" t="s">
        <v>71</v>
      </c>
      <c r="C5" s="19" t="n">
        <f aca="false">DCF_Base!$G$38</f>
        <v>10277.3878944236</v>
      </c>
    </row>
    <row r="6" customFormat="false" ht="15" hidden="false" customHeight="true" outlineLevel="0" collapsed="false">
      <c r="B6" s="4" t="s">
        <v>72</v>
      </c>
      <c r="C6" s="19" t="n">
        <f aca="false">Synergies!$G$20</f>
        <v>7864.58602418807</v>
      </c>
    </row>
    <row r="7" customFormat="false" ht="15" hidden="false" customHeight="true" outlineLevel="0" collapsed="false">
      <c r="B7" s="20" t="s">
        <v>73</v>
      </c>
      <c r="C7" s="21" t="n">
        <f aca="false">C5+C6</f>
        <v>18141.9739186117</v>
      </c>
    </row>
    <row r="9" customFormat="false" ht="15" hidden="false" customHeight="true" outlineLevel="0" collapsed="false">
      <c r="B9" s="3" t="s">
        <v>74</v>
      </c>
    </row>
    <row r="10" customFormat="false" ht="15" hidden="false" customHeight="true" outlineLevel="0" collapsed="false">
      <c r="B10" s="4" t="s">
        <v>75</v>
      </c>
      <c r="C10" s="22" t="n">
        <f aca="false">-Assumptions!$C$29*Assumptions!$C$29*C7</f>
        <v>-2222.39180502993</v>
      </c>
      <c r="E10" s="6" t="s">
        <v>76</v>
      </c>
    </row>
    <row r="11" customFormat="false" ht="15" hidden="false" customHeight="true" outlineLevel="0" collapsed="false">
      <c r="B11" s="20" t="s">
        <v>77</v>
      </c>
      <c r="C11" s="21" t="n">
        <f aca="false">C7+C10</f>
        <v>15919.5821135818</v>
      </c>
    </row>
    <row r="13" customFormat="false" ht="15" hidden="false" customHeight="true" outlineLevel="0" collapsed="false">
      <c r="B13" s="3" t="s">
        <v>78</v>
      </c>
    </row>
    <row r="14" customFormat="false" ht="15" hidden="false" customHeight="true" outlineLevel="0" collapsed="false">
      <c r="B14" s="4" t="s">
        <v>79</v>
      </c>
      <c r="C14" s="22" t="n">
        <f aca="false">-Assumptions!$C$26</f>
        <v>-3758</v>
      </c>
      <c r="E14" s="6" t="s">
        <v>33</v>
      </c>
    </row>
    <row r="15" customFormat="false" ht="15" hidden="false" customHeight="true" outlineLevel="0" collapsed="false">
      <c r="B15" s="20" t="s">
        <v>80</v>
      </c>
      <c r="C15" s="21" t="n">
        <f aca="false">C11+C14</f>
        <v>12161.5821135818</v>
      </c>
    </row>
    <row r="17" customFormat="false" ht="15" hidden="false" customHeight="true" outlineLevel="0" collapsed="false">
      <c r="B17" s="3" t="s">
        <v>81</v>
      </c>
    </row>
    <row r="18" customFormat="false" ht="15" hidden="false" customHeight="true" outlineLevel="0" collapsed="false">
      <c r="B18" s="4" t="s">
        <v>82</v>
      </c>
      <c r="C18" s="22" t="n">
        <f aca="false">C15*Assumptions!$C$29</f>
        <v>4256.55373975362</v>
      </c>
      <c r="E18" s="6" t="s">
        <v>83</v>
      </c>
    </row>
    <row r="19" customFormat="false" ht="15" hidden="false" customHeight="true" outlineLevel="0" collapsed="false">
      <c r="B19" s="23" t="s">
        <v>84</v>
      </c>
      <c r="C19" s="24" t="n">
        <f aca="false">C15+C18</f>
        <v>16418.1358533354</v>
      </c>
    </row>
    <row r="20" customFormat="false" ht="15" hidden="false" customHeight="true" outlineLevel="0" collapsed="false">
      <c r="B20" s="4" t="s">
        <v>85</v>
      </c>
      <c r="C20" s="22" t="n">
        <f aca="false">-C19*Assumptions!$C$29</f>
        <v>-5746.34754866739</v>
      </c>
      <c r="E20" s="6" t="s">
        <v>86</v>
      </c>
    </row>
    <row r="21" customFormat="false" ht="19.5" hidden="false" customHeight="true" outlineLevel="0" collapsed="false">
      <c r="B21" s="25" t="s">
        <v>87</v>
      </c>
      <c r="C21" s="26" t="n">
        <f aca="false">C19+C20</f>
        <v>10671.788304668</v>
      </c>
    </row>
    <row r="23" customFormat="false" ht="15" hidden="false" customHeight="true" outlineLevel="0" collapsed="false">
      <c r="B23" s="3" t="s">
        <v>88</v>
      </c>
    </row>
    <row r="24" customFormat="false" ht="15" hidden="false" customHeight="true" outlineLevel="0" collapsed="false">
      <c r="B24" s="4" t="s">
        <v>89</v>
      </c>
      <c r="C24" s="27" t="n">
        <f aca="false">C7/Assumptions!$C$25</f>
        <v>17.5573153185055</v>
      </c>
    </row>
    <row r="25" customFormat="false" ht="15" hidden="false" customHeight="true" outlineLevel="0" collapsed="false">
      <c r="B25" s="4" t="s">
        <v>90</v>
      </c>
      <c r="C25" s="27" t="n">
        <f aca="false">C7/(DCF_Base!C14+DCF_Base!C13)</f>
        <v>16.3279398061486</v>
      </c>
    </row>
    <row r="26" customFormat="false" ht="15" hidden="false" customHeight="true" outlineLevel="0" collapsed="false">
      <c r="B26" s="4" t="s">
        <v>91</v>
      </c>
      <c r="C26" s="9" t="n">
        <f aca="false">C6/C5</f>
        <v>0.76523199328258</v>
      </c>
    </row>
    <row r="27" customFormat="false" ht="15" hidden="false" customHeight="true" outlineLevel="0" collapsed="false">
      <c r="B27" s="4" t="s">
        <v>92</v>
      </c>
      <c r="C27" s="9" t="n">
        <f aca="false">C21/C15-1</f>
        <v>-0.1225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8" min="3" style="1" width="12"/>
  </cols>
  <sheetData>
    <row r="2" customFormat="false" ht="24" hidden="false" customHeight="true" outlineLevel="0" collapsed="false">
      <c r="B2" s="2" t="s">
        <v>93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28" t="s">
        <v>94</v>
      </c>
      <c r="C4" s="29" t="s">
        <v>95</v>
      </c>
      <c r="D4" s="29" t="s">
        <v>96</v>
      </c>
      <c r="E4" s="29" t="s">
        <v>97</v>
      </c>
      <c r="F4" s="29" t="s">
        <v>98</v>
      </c>
      <c r="G4" s="29" t="s">
        <v>99</v>
      </c>
    </row>
    <row r="5" customFormat="false" ht="15" hidden="false" customHeight="true" outlineLevel="0" collapsed="false">
      <c r="B5" s="30" t="s">
        <v>100</v>
      </c>
      <c r="C5" s="30"/>
      <c r="D5" s="30"/>
      <c r="E5" s="30"/>
      <c r="F5" s="30"/>
      <c r="G5" s="30"/>
      <c r="H5" s="30"/>
    </row>
    <row r="6" customFormat="false" ht="15" hidden="false" customHeight="true" outlineLevel="0" collapsed="false">
      <c r="B6" s="4" t="s">
        <v>101</v>
      </c>
      <c r="C6" s="31" t="n">
        <v>4194.3</v>
      </c>
      <c r="D6" s="31" t="n">
        <v>4781.5</v>
      </c>
      <c r="E6" s="31" t="n">
        <v>5379.2</v>
      </c>
      <c r="F6" s="31" t="n">
        <v>5917.2</v>
      </c>
      <c r="G6" s="31" t="n">
        <v>6331.4</v>
      </c>
    </row>
    <row r="7" customFormat="false" ht="15" hidden="false" customHeight="true" outlineLevel="0" collapsed="false">
      <c r="B7" s="4" t="s">
        <v>102</v>
      </c>
      <c r="C7" s="31" t="n">
        <v>314.8</v>
      </c>
      <c r="D7" s="31" t="n">
        <v>358.8</v>
      </c>
      <c r="E7" s="31" t="n">
        <v>403.7</v>
      </c>
      <c r="F7" s="31" t="n">
        <v>444.1</v>
      </c>
      <c r="G7" s="31" t="n">
        <v>475.2</v>
      </c>
    </row>
    <row r="8" customFormat="false" ht="15" hidden="false" customHeight="true" outlineLevel="0" collapsed="false">
      <c r="B8" s="23" t="s">
        <v>103</v>
      </c>
      <c r="C8" s="24" t="n">
        <f aca="false">C6+C7</f>
        <v>4509.1</v>
      </c>
      <c r="D8" s="24" t="n">
        <f aca="false">D6+D7</f>
        <v>5140.3</v>
      </c>
      <c r="E8" s="24" t="n">
        <f aca="false">E6+E7</f>
        <v>5782.9</v>
      </c>
      <c r="F8" s="24" t="n">
        <f aca="false">F6+F7</f>
        <v>6361.3</v>
      </c>
      <c r="G8" s="24" t="n">
        <f aca="false">G6+G7</f>
        <v>6806.6</v>
      </c>
    </row>
    <row r="9" customFormat="false" ht="15" hidden="false" customHeight="true" outlineLevel="0" collapsed="false">
      <c r="B9" s="30" t="s">
        <v>104</v>
      </c>
      <c r="C9" s="30"/>
      <c r="D9" s="30"/>
      <c r="E9" s="30"/>
      <c r="F9" s="30"/>
      <c r="G9" s="30"/>
      <c r="H9" s="30"/>
    </row>
    <row r="10" customFormat="false" ht="15" hidden="false" customHeight="true" outlineLevel="0" collapsed="false">
      <c r="B10" s="4" t="s">
        <v>105</v>
      </c>
      <c r="C10" s="31" t="n">
        <v>838.9</v>
      </c>
      <c r="D10" s="31" t="n">
        <v>956.3</v>
      </c>
      <c r="E10" s="31" t="n">
        <v>1075.8</v>
      </c>
      <c r="F10" s="31" t="n">
        <v>1183.4</v>
      </c>
      <c r="G10" s="31" t="n">
        <v>1266.3</v>
      </c>
    </row>
    <row r="11" customFormat="false" ht="15" hidden="false" customHeight="true" outlineLevel="0" collapsed="false">
      <c r="B11" s="4" t="s">
        <v>106</v>
      </c>
      <c r="C11" s="31" t="n">
        <v>755.5</v>
      </c>
      <c r="D11" s="31" t="n">
        <v>861.2</v>
      </c>
      <c r="E11" s="31" t="n">
        <v>968.9</v>
      </c>
      <c r="F11" s="31" t="n">
        <v>1065.8</v>
      </c>
      <c r="G11" s="31" t="n">
        <v>1140.4</v>
      </c>
    </row>
    <row r="12" customFormat="false" ht="15" hidden="false" customHeight="true" outlineLevel="0" collapsed="false">
      <c r="B12" s="4" t="s">
        <v>107</v>
      </c>
      <c r="C12" s="31" t="n">
        <v>1803.6</v>
      </c>
      <c r="D12" s="31" t="n">
        <v>2056.2</v>
      </c>
      <c r="E12" s="31" t="n">
        <v>2313.2</v>
      </c>
      <c r="F12" s="31" t="n">
        <v>2544.5</v>
      </c>
      <c r="G12" s="31" t="n">
        <v>2722.6</v>
      </c>
    </row>
    <row r="13" customFormat="false" ht="15" hidden="false" customHeight="true" outlineLevel="0" collapsed="false">
      <c r="B13" s="4" t="s">
        <v>108</v>
      </c>
      <c r="C13" s="31" t="n">
        <v>705.2</v>
      </c>
      <c r="D13" s="31" t="n">
        <v>804</v>
      </c>
      <c r="E13" s="31" t="n">
        <v>867.4</v>
      </c>
      <c r="F13" s="31" t="n">
        <v>922.4</v>
      </c>
      <c r="G13" s="31" t="n">
        <v>952.9</v>
      </c>
    </row>
    <row r="14" customFormat="false" ht="15" hidden="false" customHeight="true" outlineLevel="0" collapsed="false">
      <c r="B14" s="20" t="s">
        <v>109</v>
      </c>
      <c r="C14" s="21" t="n">
        <f aca="false">C8-C10-C11-C12-C13</f>
        <v>405.9</v>
      </c>
      <c r="D14" s="21" t="n">
        <f aca="false">D8-D10-D11-D12-D13</f>
        <v>462.6</v>
      </c>
      <c r="E14" s="21" t="n">
        <f aca="false">E8-E10-E11-E12-E13</f>
        <v>557.6</v>
      </c>
      <c r="F14" s="21" t="n">
        <f aca="false">F8-F10-F11-F12-F13</f>
        <v>645.2</v>
      </c>
      <c r="G14" s="21" t="n">
        <f aca="false">G8-G10-G11-G12-G13</f>
        <v>724.4</v>
      </c>
    </row>
    <row r="15" customFormat="false" ht="15" hidden="false" customHeight="true" outlineLevel="0" collapsed="false">
      <c r="B15" s="4" t="s">
        <v>110</v>
      </c>
      <c r="C15" s="22" t="n">
        <f aca="false">-C14*Assumptions!$C$9</f>
        <v>-162.36</v>
      </c>
      <c r="D15" s="22" t="n">
        <f aca="false">-D14*Assumptions!$C$9</f>
        <v>-185.04</v>
      </c>
      <c r="E15" s="22" t="n">
        <f aca="false">-E14*Assumptions!$C$9</f>
        <v>-223.04</v>
      </c>
      <c r="F15" s="22" t="n">
        <f aca="false">-F14*Assumptions!$C$9</f>
        <v>-258.08</v>
      </c>
      <c r="G15" s="22" t="n">
        <f aca="false">-G14*Assumptions!$C$9</f>
        <v>-289.76</v>
      </c>
    </row>
    <row r="16" customFormat="false" ht="15" hidden="false" customHeight="true" outlineLevel="0" collapsed="false">
      <c r="B16" s="23" t="s">
        <v>111</v>
      </c>
      <c r="C16" s="24" t="n">
        <f aca="false">C14+C15</f>
        <v>243.54</v>
      </c>
      <c r="D16" s="24" t="n">
        <f aca="false">D14+D15</f>
        <v>277.56</v>
      </c>
      <c r="E16" s="24" t="n">
        <f aca="false">E14+E15</f>
        <v>334.56</v>
      </c>
      <c r="F16" s="24" t="n">
        <f aca="false">F14+F15</f>
        <v>387.12</v>
      </c>
      <c r="G16" s="24" t="n">
        <f aca="false">G14+G15</f>
        <v>434.64</v>
      </c>
    </row>
    <row r="17" customFormat="false" ht="15" hidden="false" customHeight="true" outlineLevel="0" collapsed="false">
      <c r="B17" s="30" t="s">
        <v>112</v>
      </c>
      <c r="C17" s="30"/>
      <c r="D17" s="30"/>
      <c r="E17" s="30"/>
      <c r="F17" s="30"/>
      <c r="G17" s="30"/>
      <c r="H17" s="30"/>
    </row>
    <row r="18" customFormat="false" ht="15" hidden="false" customHeight="true" outlineLevel="0" collapsed="false">
      <c r="B18" s="4" t="s">
        <v>113</v>
      </c>
      <c r="C18" s="22" t="n">
        <f aca="false">C13</f>
        <v>705.2</v>
      </c>
      <c r="D18" s="22" t="n">
        <f aca="false">D13</f>
        <v>804</v>
      </c>
      <c r="E18" s="22" t="n">
        <f aca="false">E13</f>
        <v>867.4</v>
      </c>
      <c r="F18" s="22" t="n">
        <f aca="false">F13</f>
        <v>922.4</v>
      </c>
      <c r="G18" s="22" t="n">
        <f aca="false">G13</f>
        <v>952.9</v>
      </c>
    </row>
    <row r="19" customFormat="false" ht="15" hidden="false" customHeight="true" outlineLevel="0" collapsed="false">
      <c r="B19" s="4" t="s">
        <v>114</v>
      </c>
      <c r="C19" s="31" t="n">
        <v>-631.3</v>
      </c>
      <c r="D19" s="31" t="n">
        <v>-719.7</v>
      </c>
      <c r="E19" s="31" t="n">
        <v>-867.4</v>
      </c>
      <c r="F19" s="31" t="n">
        <v>-970.1</v>
      </c>
      <c r="G19" s="31" t="n">
        <v>-1055</v>
      </c>
    </row>
    <row r="20" customFormat="false" ht="15" hidden="false" customHeight="true" outlineLevel="0" collapsed="false">
      <c r="B20" s="4" t="s">
        <v>115</v>
      </c>
      <c r="C20" s="22" t="n">
        <f aca="false">-0.03*(C8-3955.3)</f>
        <v>-16.614</v>
      </c>
      <c r="D20" s="22" t="n">
        <f aca="false">-0.03*(D8-C8)</f>
        <v>-18.936</v>
      </c>
      <c r="E20" s="22" t="n">
        <f aca="false">-0.03*(E8-D8)</f>
        <v>-19.278</v>
      </c>
      <c r="F20" s="22" t="n">
        <f aca="false">-0.03*(F8-E8)</f>
        <v>-17.352</v>
      </c>
      <c r="G20" s="22" t="n">
        <f aca="false">-0.03*(G8-F8)</f>
        <v>-13.359</v>
      </c>
    </row>
    <row r="21" customFormat="false" ht="15" hidden="false" customHeight="true" outlineLevel="0" collapsed="false">
      <c r="B21" s="32" t="s">
        <v>116</v>
      </c>
      <c r="C21" s="33" t="n">
        <f aca="false">C16+C18+C19+C20</f>
        <v>300.826</v>
      </c>
      <c r="D21" s="33" t="n">
        <f aca="false">D16+D18+D19+D20</f>
        <v>342.924</v>
      </c>
      <c r="E21" s="33" t="n">
        <f aca="false">E16+E18+E19+E20</f>
        <v>315.282</v>
      </c>
      <c r="F21" s="33" t="n">
        <f aca="false">F16+F18+F19+F20</f>
        <v>322.068</v>
      </c>
      <c r="G21" s="33" t="n">
        <f aca="false">G16+G18+G19+G20</f>
        <v>319.181</v>
      </c>
    </row>
    <row r="23" customFormat="false" ht="15" hidden="false" customHeight="true" outlineLevel="0" collapsed="false">
      <c r="B23" s="30" t="s">
        <v>117</v>
      </c>
      <c r="C23" s="30"/>
      <c r="D23" s="30"/>
      <c r="E23" s="30"/>
      <c r="F23" s="30"/>
      <c r="G23" s="30"/>
      <c r="H23" s="30"/>
    </row>
    <row r="24" customFormat="false" ht="15" hidden="false" customHeight="true" outlineLevel="0" collapsed="false">
      <c r="B24" s="4" t="s">
        <v>118</v>
      </c>
      <c r="C24" s="34" t="n">
        <v>1</v>
      </c>
      <c r="D24" s="34" t="n">
        <v>2</v>
      </c>
      <c r="E24" s="34" t="n">
        <v>3</v>
      </c>
      <c r="F24" s="34" t="n">
        <v>4</v>
      </c>
      <c r="G24" s="34" t="n">
        <v>5</v>
      </c>
    </row>
    <row r="25" customFormat="false" ht="15" hidden="false" customHeight="true" outlineLevel="0" collapsed="false">
      <c r="B25" s="4" t="s">
        <v>119</v>
      </c>
      <c r="C25" s="35" t="n">
        <f aca="false">1/(1+Assumptions!$C$17)^C24</f>
        <v>0.934586022123232</v>
      </c>
      <c r="D25" s="35" t="n">
        <f aca="false">1/(1+Assumptions!$C$17)^D24</f>
        <v>0.873451032748126</v>
      </c>
      <c r="E25" s="35" t="n">
        <f aca="false">1/(1+Assumptions!$C$17)^E24</f>
        <v>0.816315126215499</v>
      </c>
      <c r="F25" s="35" t="n">
        <f aca="false">1/(1+Assumptions!$C$17)^F24</f>
        <v>0.762916706608767</v>
      </c>
      <c r="G25" s="35" t="n">
        <f aca="false">1/(1+Assumptions!$C$17)^G24</f>
        <v>0.713011290040844</v>
      </c>
    </row>
    <row r="26" customFormat="false" ht="15" hidden="false" customHeight="true" outlineLevel="0" collapsed="false">
      <c r="B26" s="23" t="s">
        <v>120</v>
      </c>
      <c r="C26" s="24" t="n">
        <f aca="false">C21*C25</f>
        <v>281.147774691244</v>
      </c>
      <c r="D26" s="24" t="n">
        <f aca="false">D21*D25</f>
        <v>299.527321954118</v>
      </c>
      <c r="E26" s="24" t="n">
        <f aca="false">E21*E25</f>
        <v>257.369465623475</v>
      </c>
      <c r="F26" s="24" t="n">
        <f aca="false">F21*F25</f>
        <v>245.711057864072</v>
      </c>
      <c r="G26" s="24" t="n">
        <f aca="false">G21*G25</f>
        <v>227.579656566527</v>
      </c>
    </row>
    <row r="28" customFormat="false" ht="15" hidden="false" customHeight="true" outlineLevel="0" collapsed="false">
      <c r="B28" s="30" t="s">
        <v>121</v>
      </c>
      <c r="C28" s="30"/>
      <c r="D28" s="30"/>
      <c r="E28" s="30"/>
      <c r="F28" s="30"/>
      <c r="G28" s="30"/>
      <c r="H28" s="30"/>
    </row>
    <row r="29" customFormat="false" ht="15" hidden="false" customHeight="true" outlineLevel="0" collapsed="false">
      <c r="B29" s="4" t="s">
        <v>122</v>
      </c>
      <c r="G29" s="22" t="n">
        <f aca="false">G21*(1+Assumptions!$C$21)/(Assumptions!$C$17-Assumptions!$C$21)</f>
        <v>16763.3194852163</v>
      </c>
    </row>
    <row r="30" customFormat="false" ht="15" hidden="false" customHeight="true" outlineLevel="0" collapsed="false">
      <c r="B30" s="4" t="s">
        <v>123</v>
      </c>
      <c r="G30" s="22" t="n">
        <f aca="false">G14+G13</f>
        <v>1677.3</v>
      </c>
    </row>
    <row r="31" customFormat="false" ht="15" hidden="false" customHeight="true" outlineLevel="0" collapsed="false">
      <c r="B31" s="4" t="s">
        <v>124</v>
      </c>
      <c r="G31" s="22" t="n">
        <f aca="false">G30*Assumptions!$C$22</f>
        <v>8386.5</v>
      </c>
    </row>
    <row r="32" customFormat="false" ht="15" hidden="false" customHeight="true" outlineLevel="0" collapsed="false">
      <c r="B32" s="20" t="s">
        <v>125</v>
      </c>
      <c r="G32" s="21" t="n">
        <f aca="false">AVERAGE(G29,G31)</f>
        <v>12574.9097426081</v>
      </c>
    </row>
    <row r="33" customFormat="false" ht="15" hidden="false" customHeight="true" outlineLevel="0" collapsed="false">
      <c r="B33" s="23" t="s">
        <v>126</v>
      </c>
      <c r="G33" s="24" t="n">
        <f aca="false">G32*G25</f>
        <v>8966.05261772421</v>
      </c>
    </row>
    <row r="35" customFormat="false" ht="15" hidden="false" customHeight="true" outlineLevel="0" collapsed="false">
      <c r="B35" s="30" t="s">
        <v>127</v>
      </c>
      <c r="C35" s="30"/>
      <c r="D35" s="30"/>
      <c r="E35" s="30"/>
      <c r="F35" s="30"/>
      <c r="G35" s="30"/>
      <c r="H35" s="30"/>
    </row>
    <row r="36" customFormat="false" ht="15" hidden="false" customHeight="true" outlineLevel="0" collapsed="false">
      <c r="B36" s="23" t="s">
        <v>128</v>
      </c>
      <c r="G36" s="24" t="n">
        <f aca="false">SUM(C26:G26)</f>
        <v>1311.33527669944</v>
      </c>
    </row>
    <row r="37" customFormat="false" ht="15" hidden="false" customHeight="true" outlineLevel="0" collapsed="false">
      <c r="B37" s="23" t="s">
        <v>126</v>
      </c>
      <c r="G37" s="24" t="n">
        <f aca="false">G33</f>
        <v>8966.05261772421</v>
      </c>
    </row>
    <row r="38" customFormat="false" ht="15" hidden="false" customHeight="true" outlineLevel="0" collapsed="false">
      <c r="B38" s="32" t="s">
        <v>129</v>
      </c>
      <c r="G38" s="33" t="n">
        <f aca="false">G36+G37</f>
        <v>10277.3878944236</v>
      </c>
    </row>
  </sheetData>
  <mergeCells count="7">
    <mergeCell ref="B2:H2"/>
    <mergeCell ref="B5:H5"/>
    <mergeCell ref="B9:H9"/>
    <mergeCell ref="B17:H17"/>
    <mergeCell ref="B23:H23"/>
    <mergeCell ref="B28:H28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8" min="3" style="1" width="12"/>
  </cols>
  <sheetData>
    <row r="2" customFormat="false" ht="24" hidden="false" customHeight="true" outlineLevel="0" collapsed="false">
      <c r="B2" s="2" t="s">
        <v>130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28" t="s">
        <v>94</v>
      </c>
      <c r="C4" s="29" t="s">
        <v>95</v>
      </c>
      <c r="D4" s="29" t="s">
        <v>96</v>
      </c>
      <c r="E4" s="29" t="s">
        <v>97</v>
      </c>
      <c r="F4" s="29" t="s">
        <v>98</v>
      </c>
      <c r="G4" s="29" t="s">
        <v>99</v>
      </c>
    </row>
    <row r="5" customFormat="false" ht="15" hidden="false" customHeight="true" outlineLevel="0" collapsed="false">
      <c r="B5" s="30" t="s">
        <v>131</v>
      </c>
      <c r="C5" s="30"/>
      <c r="D5" s="30"/>
      <c r="E5" s="30"/>
      <c r="F5" s="30"/>
      <c r="G5" s="30"/>
      <c r="H5" s="30"/>
    </row>
    <row r="6" customFormat="false" ht="15" hidden="false" customHeight="true" outlineLevel="0" collapsed="false">
      <c r="B6" s="4" t="s">
        <v>132</v>
      </c>
      <c r="C6" s="31" t="n">
        <v>0</v>
      </c>
      <c r="D6" s="31" t="n">
        <v>13.4</v>
      </c>
      <c r="E6" s="31" t="n">
        <v>25.8</v>
      </c>
      <c r="F6" s="31" t="n">
        <v>52.5</v>
      </c>
      <c r="G6" s="31" t="n">
        <v>76</v>
      </c>
    </row>
    <row r="7" customFormat="false" ht="15" hidden="false" customHeight="true" outlineLevel="0" collapsed="false">
      <c r="B7" s="30" t="s">
        <v>133</v>
      </c>
      <c r="C7" s="30"/>
      <c r="D7" s="30"/>
      <c r="E7" s="30"/>
      <c r="F7" s="30"/>
      <c r="G7" s="30"/>
      <c r="H7" s="30"/>
    </row>
    <row r="8" customFormat="false" ht="15" hidden="false" customHeight="true" outlineLevel="0" collapsed="false">
      <c r="B8" s="4" t="s">
        <v>134</v>
      </c>
      <c r="C8" s="31" t="n">
        <v>156</v>
      </c>
      <c r="D8" s="31" t="n">
        <v>269</v>
      </c>
      <c r="E8" s="31" t="n">
        <v>387</v>
      </c>
      <c r="F8" s="31" t="n">
        <v>570</v>
      </c>
      <c r="G8" s="31" t="n">
        <v>704</v>
      </c>
    </row>
    <row r="9" customFormat="false" ht="15" hidden="false" customHeight="true" outlineLevel="0" collapsed="false">
      <c r="B9" s="30" t="s">
        <v>135</v>
      </c>
      <c r="C9" s="30"/>
      <c r="D9" s="30"/>
      <c r="E9" s="30"/>
      <c r="F9" s="30"/>
      <c r="G9" s="30"/>
      <c r="H9" s="30"/>
    </row>
    <row r="10" customFormat="false" ht="15" hidden="false" customHeight="true" outlineLevel="0" collapsed="false">
      <c r="B10" s="23" t="s">
        <v>136</v>
      </c>
      <c r="C10" s="24" t="n">
        <f aca="false">C6+C8</f>
        <v>156</v>
      </c>
      <c r="D10" s="24" t="n">
        <f aca="false">D6+D8</f>
        <v>282.4</v>
      </c>
      <c r="E10" s="24" t="n">
        <f aca="false">E6+E8</f>
        <v>412.8</v>
      </c>
      <c r="F10" s="24" t="n">
        <f aca="false">F6+F8</f>
        <v>622.5</v>
      </c>
      <c r="G10" s="24" t="n">
        <f aca="false">G6+G8</f>
        <v>780</v>
      </c>
    </row>
    <row r="11" customFormat="false" ht="15" hidden="false" customHeight="true" outlineLevel="0" collapsed="false">
      <c r="B11" s="32" t="s">
        <v>137</v>
      </c>
      <c r="C11" s="33" t="n">
        <f aca="false">C10*(1-Assumptions!$C$9)</f>
        <v>93.6</v>
      </c>
      <c r="D11" s="33" t="n">
        <f aca="false">D10*(1-Assumptions!$C$9)</f>
        <v>169.44</v>
      </c>
      <c r="E11" s="33" t="n">
        <f aca="false">E10*(1-Assumptions!$C$9)</f>
        <v>247.68</v>
      </c>
      <c r="F11" s="33" t="n">
        <f aca="false">F10*(1-Assumptions!$C$9)</f>
        <v>373.5</v>
      </c>
      <c r="G11" s="33" t="n">
        <f aca="false">G10*(1-Assumptions!$C$9)</f>
        <v>468</v>
      </c>
    </row>
    <row r="13" customFormat="false" ht="15" hidden="false" customHeight="true" outlineLevel="0" collapsed="false">
      <c r="B13" s="30" t="s">
        <v>138</v>
      </c>
      <c r="C13" s="30"/>
      <c r="D13" s="30"/>
      <c r="E13" s="30"/>
      <c r="F13" s="30"/>
      <c r="G13" s="30"/>
      <c r="H13" s="30"/>
    </row>
    <row r="14" customFormat="false" ht="15" hidden="false" customHeight="true" outlineLevel="0" collapsed="false">
      <c r="B14" s="4" t="s">
        <v>139</v>
      </c>
      <c r="C14" s="34" t="n">
        <v>1</v>
      </c>
      <c r="D14" s="34" t="n">
        <v>2</v>
      </c>
      <c r="E14" s="34" t="n">
        <v>3</v>
      </c>
      <c r="F14" s="34" t="n">
        <v>4</v>
      </c>
      <c r="G14" s="34" t="n">
        <v>5</v>
      </c>
    </row>
    <row r="15" customFormat="false" ht="15" hidden="false" customHeight="true" outlineLevel="0" collapsed="false">
      <c r="B15" s="4" t="s">
        <v>119</v>
      </c>
      <c r="C15" s="35" t="n">
        <f aca="false">1/(1+Assumptions!$C$17)^C14</f>
        <v>0.934586022123232</v>
      </c>
      <c r="D15" s="35" t="n">
        <f aca="false">1/(1+Assumptions!$C$17)^D14</f>
        <v>0.873451032748126</v>
      </c>
      <c r="E15" s="35" t="n">
        <f aca="false">1/(1+Assumptions!$C$17)^E14</f>
        <v>0.816315126215499</v>
      </c>
      <c r="F15" s="35" t="n">
        <f aca="false">1/(1+Assumptions!$C$17)^F14</f>
        <v>0.762916706608767</v>
      </c>
      <c r="G15" s="35" t="n">
        <f aca="false">1/(1+Assumptions!$C$17)^G14</f>
        <v>0.713011290040844</v>
      </c>
    </row>
    <row r="16" customFormat="false" ht="15" hidden="false" customHeight="true" outlineLevel="0" collapsed="false">
      <c r="B16" s="23" t="s">
        <v>140</v>
      </c>
      <c r="C16" s="24" t="n">
        <f aca="false">C11*C15</f>
        <v>87.4772516707345</v>
      </c>
      <c r="D16" s="24" t="n">
        <f aca="false">D11*D15</f>
        <v>147.997542988842</v>
      </c>
      <c r="E16" s="24" t="n">
        <f aca="false">E11*E15</f>
        <v>202.184930461055</v>
      </c>
      <c r="F16" s="24" t="n">
        <f aca="false">F11*F15</f>
        <v>284.949389918375</v>
      </c>
      <c r="G16" s="24" t="n">
        <f aca="false">G11*G15</f>
        <v>333.689283739115</v>
      </c>
    </row>
    <row r="17" customFormat="false" ht="15" hidden="false" customHeight="true" outlineLevel="0" collapsed="false">
      <c r="B17" s="4" t="s">
        <v>141</v>
      </c>
      <c r="G17" s="22" t="n">
        <f aca="false">G11*(1+Synergies!$C$22)/(Assumptions!$C$17-Synergies!$C$22)</f>
        <v>9548.63929997509</v>
      </c>
    </row>
    <row r="18" customFormat="false" ht="15" hidden="false" customHeight="true" outlineLevel="0" collapsed="false">
      <c r="B18" s="23" t="s">
        <v>142</v>
      </c>
      <c r="G18" s="24" t="n">
        <f aca="false">G17*G15</f>
        <v>6808.28762540994</v>
      </c>
    </row>
    <row r="20" customFormat="false" ht="15" hidden="false" customHeight="true" outlineLevel="0" collapsed="false">
      <c r="B20" s="32" t="s">
        <v>143</v>
      </c>
      <c r="G20" s="33" t="n">
        <f aca="false">SUM(C16:G16)+G18</f>
        <v>7864.58602418807</v>
      </c>
    </row>
    <row r="22" customFormat="false" ht="15" hidden="false" customHeight="true" outlineLevel="0" collapsed="false">
      <c r="B22" s="4" t="s">
        <v>144</v>
      </c>
      <c r="C22" s="36" t="n">
        <v>0.02</v>
      </c>
      <c r="D22" s="6" t="s">
        <v>145</v>
      </c>
    </row>
  </sheetData>
  <mergeCells count="5">
    <mergeCell ref="B2:H2"/>
    <mergeCell ref="B5:H5"/>
    <mergeCell ref="B7:H7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11" min="3" style="1" width="12"/>
    <col collapsed="false" customWidth="true" hidden="false" outlineLevel="0" max="12" min="12" style="1" width="30"/>
  </cols>
  <sheetData>
    <row r="2" customFormat="false" ht="24" hidden="false" customHeight="true" outlineLevel="0" collapsed="false">
      <c r="B2" s="2" t="s">
        <v>146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B4" s="37" t="s">
        <v>147</v>
      </c>
      <c r="C4" s="37" t="s">
        <v>148</v>
      </c>
      <c r="D4" s="37" t="s">
        <v>149</v>
      </c>
      <c r="E4" s="37" t="s">
        <v>150</v>
      </c>
      <c r="F4" s="37" t="s">
        <v>151</v>
      </c>
      <c r="G4" s="37" t="s">
        <v>152</v>
      </c>
      <c r="H4" s="37" t="s">
        <v>100</v>
      </c>
      <c r="I4" s="37" t="s">
        <v>109</v>
      </c>
      <c r="J4" s="37" t="s">
        <v>153</v>
      </c>
      <c r="K4" s="37" t="s">
        <v>154</v>
      </c>
      <c r="L4" s="37" t="s">
        <v>155</v>
      </c>
    </row>
    <row r="5" customFormat="false" ht="15" hidden="false" customHeight="true" outlineLevel="0" collapsed="false">
      <c r="B5" s="4" t="s">
        <v>156</v>
      </c>
      <c r="C5" s="38" t="n">
        <v>118497</v>
      </c>
      <c r="D5" s="38" t="n">
        <v>69130</v>
      </c>
      <c r="E5" s="39" t="n">
        <v>0.368</v>
      </c>
      <c r="F5" s="39" t="n">
        <v>0.583</v>
      </c>
      <c r="G5" s="40" t="n">
        <v>0.86</v>
      </c>
      <c r="H5" s="38" t="n">
        <v>43882</v>
      </c>
      <c r="I5" s="38" t="n">
        <v>11795</v>
      </c>
      <c r="J5" s="38" t="n">
        <v>16949</v>
      </c>
      <c r="K5" s="27" t="n">
        <f aca="false">(C5+D5)/J5</f>
        <v>11.0700926308337</v>
      </c>
    </row>
    <row r="6" customFormat="false" ht="15" hidden="false" customHeight="true" outlineLevel="0" collapsed="false">
      <c r="B6" s="4" t="s">
        <v>157</v>
      </c>
      <c r="C6" s="38" t="n">
        <v>189470</v>
      </c>
      <c r="D6" s="38" t="n">
        <v>79351</v>
      </c>
      <c r="E6" s="39" t="n">
        <v>0.295</v>
      </c>
      <c r="F6" s="39" t="n">
        <v>0.419</v>
      </c>
      <c r="G6" s="40" t="n">
        <v>0.89</v>
      </c>
      <c r="H6" s="38" t="n">
        <v>42684</v>
      </c>
      <c r="I6" s="38" t="n">
        <v>7020</v>
      </c>
      <c r="J6" s="38" t="n">
        <v>14099</v>
      </c>
      <c r="K6" s="27" t="n">
        <f aca="false">(C6+D6)/J6</f>
        <v>19.0666713951344</v>
      </c>
    </row>
    <row r="7" customFormat="false" ht="15" hidden="false" customHeight="true" outlineLevel="0" collapsed="false">
      <c r="B7" s="4" t="s">
        <v>158</v>
      </c>
      <c r="C7" s="38" t="n">
        <v>21079</v>
      </c>
      <c r="D7" s="38" t="n">
        <v>5080</v>
      </c>
      <c r="E7" s="39" t="n">
        <v>0.194</v>
      </c>
      <c r="F7" s="39" t="n">
        <v>0.241</v>
      </c>
      <c r="G7" s="40" t="n">
        <v>1.17</v>
      </c>
      <c r="H7" s="38" t="n">
        <v>34698</v>
      </c>
      <c r="I7" s="38" t="n">
        <v>1631</v>
      </c>
      <c r="J7" s="38" t="n">
        <v>9914</v>
      </c>
      <c r="K7" s="27" t="n">
        <f aca="false">(C7+D7)/J7</f>
        <v>2.6385918902562</v>
      </c>
    </row>
    <row r="8" customFormat="false" ht="15" hidden="false" customHeight="true" outlineLevel="0" collapsed="false">
      <c r="B8" s="4" t="s">
        <v>159</v>
      </c>
      <c r="C8" s="38" t="n">
        <v>26285</v>
      </c>
      <c r="D8" s="38" t="n">
        <v>8335</v>
      </c>
      <c r="E8" s="39" t="n">
        <v>0.241</v>
      </c>
      <c r="F8" s="39" t="n">
        <v>0.317</v>
      </c>
      <c r="G8" s="40" t="n">
        <v>0.97</v>
      </c>
      <c r="H8" s="38" t="n">
        <v>38896</v>
      </c>
      <c r="I8" s="38" t="n">
        <v>6702</v>
      </c>
      <c r="J8" s="38" t="n">
        <v>12614</v>
      </c>
      <c r="K8" s="27" t="n">
        <f aca="false">(C8+D8)/J8</f>
        <v>2.74456952592358</v>
      </c>
    </row>
    <row r="9" customFormat="false" ht="15" hidden="false" customHeight="true" outlineLevel="0" collapsed="false">
      <c r="B9" s="4" t="s">
        <v>160</v>
      </c>
      <c r="C9" s="38" t="n">
        <v>7360</v>
      </c>
      <c r="D9" s="38" t="n">
        <v>3268</v>
      </c>
      <c r="E9" s="39" t="n">
        <v>0.307</v>
      </c>
      <c r="F9" s="39" t="n">
        <v>0.444</v>
      </c>
      <c r="G9" s="40" t="n">
        <v>1.13</v>
      </c>
      <c r="H9" s="38" t="n">
        <v>4064</v>
      </c>
      <c r="I9" s="38" t="n">
        <v>510</v>
      </c>
      <c r="J9" s="38" t="n">
        <v>1028</v>
      </c>
      <c r="K9" s="27" t="n">
        <f aca="false">(C9+D9)/J9</f>
        <v>10.3385214007782</v>
      </c>
    </row>
    <row r="12" customFormat="false" ht="15" hidden="false" customHeight="true" outlineLevel="0" collapsed="false">
      <c r="B12" s="20" t="s">
        <v>161</v>
      </c>
      <c r="F12" s="41" t="n">
        <f aca="false">AVERAGE(F5:F9)</f>
        <v>0.4008</v>
      </c>
      <c r="G12" s="42" t="n">
        <f aca="false">AVERAGE(G5:G9)</f>
        <v>1.004</v>
      </c>
      <c r="K12" s="43" t="n">
        <f aca="false">AVERAGE(K5:K9)</f>
        <v>9.17168936858522</v>
      </c>
    </row>
    <row r="13" customFormat="false" ht="15" hidden="false" customHeight="true" outlineLevel="0" collapsed="false">
      <c r="B13" s="44" t="s">
        <v>162</v>
      </c>
      <c r="H13" s="45" t="n">
        <f aca="false">MEDIAN(K5:K9)</f>
        <v>10.3385214007782</v>
      </c>
      <c r="L13" s="6" t="s">
        <v>163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8" min="3" style="1" width="12"/>
    <col collapsed="false" customWidth="true" hidden="false" outlineLevel="0" max="9" min="9" style="1" width="3"/>
  </cols>
  <sheetData>
    <row r="2" customFormat="false" ht="24" hidden="false" customHeight="true" outlineLevel="0" collapsed="false">
      <c r="B2" s="2" t="s">
        <v>164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28" t="s">
        <v>94</v>
      </c>
      <c r="C4" s="29" t="s">
        <v>95</v>
      </c>
      <c r="D4" s="29" t="s">
        <v>96</v>
      </c>
      <c r="E4" s="29" t="s">
        <v>97</v>
      </c>
      <c r="F4" s="29" t="s">
        <v>98</v>
      </c>
      <c r="G4" s="29" t="s">
        <v>99</v>
      </c>
    </row>
    <row r="5" customFormat="false" ht="15" hidden="false" customHeight="true" outlineLevel="0" collapsed="false">
      <c r="B5" s="20" t="s">
        <v>165</v>
      </c>
      <c r="C5" s="21" t="n">
        <f aca="false">Assumptions!$C$24*Assumptions!$C$25</f>
        <v>5166.5</v>
      </c>
    </row>
    <row r="7" customFormat="false" ht="15" hidden="false" customHeight="true" outlineLevel="0" collapsed="false">
      <c r="B7" s="30" t="s">
        <v>166</v>
      </c>
      <c r="C7" s="30"/>
      <c r="D7" s="30"/>
      <c r="E7" s="30"/>
      <c r="F7" s="30"/>
      <c r="G7" s="30"/>
      <c r="H7" s="30"/>
    </row>
    <row r="8" customFormat="false" ht="15" hidden="false" customHeight="true" outlineLevel="0" collapsed="false">
      <c r="B8" s="4" t="s">
        <v>167</v>
      </c>
      <c r="C8" s="38" t="n">
        <v>3758</v>
      </c>
      <c r="D8" s="38" t="n">
        <v>3468</v>
      </c>
      <c r="E8" s="38" t="n">
        <v>3161</v>
      </c>
      <c r="F8" s="38" t="n">
        <v>2838</v>
      </c>
      <c r="G8" s="38" t="n">
        <v>2496</v>
      </c>
    </row>
    <row r="9" customFormat="false" ht="15" hidden="false" customHeight="true" outlineLevel="0" collapsed="false">
      <c r="B9" s="4" t="s">
        <v>168</v>
      </c>
      <c r="C9" s="31" t="n">
        <v>199.4</v>
      </c>
      <c r="D9" s="31" t="n">
        <v>183.1</v>
      </c>
      <c r="E9" s="31" t="n">
        <v>165.8</v>
      </c>
      <c r="F9" s="31" t="n">
        <v>147.5</v>
      </c>
      <c r="G9" s="31" t="n">
        <v>128.3</v>
      </c>
    </row>
    <row r="10" customFormat="false" ht="15" hidden="false" customHeight="true" outlineLevel="0" collapsed="false">
      <c r="B10" s="4" t="s">
        <v>169</v>
      </c>
      <c r="C10" s="38" t="n">
        <v>290</v>
      </c>
      <c r="D10" s="38" t="n">
        <v>307</v>
      </c>
      <c r="E10" s="38" t="n">
        <v>323</v>
      </c>
      <c r="F10" s="38" t="n">
        <v>342</v>
      </c>
      <c r="G10" s="38" t="n">
        <v>2496</v>
      </c>
    </row>
    <row r="11" customFormat="false" ht="15" hidden="false" customHeight="true" outlineLevel="0" collapsed="false">
      <c r="B11" s="23" t="s">
        <v>170</v>
      </c>
      <c r="C11" s="46" t="n">
        <f aca="false">C8-C10</f>
        <v>3468</v>
      </c>
      <c r="D11" s="46" t="n">
        <f aca="false">D8-D10</f>
        <v>3161</v>
      </c>
      <c r="E11" s="46" t="n">
        <f aca="false">E8-E10</f>
        <v>2838</v>
      </c>
      <c r="F11" s="46" t="n">
        <f aca="false">F8-F10</f>
        <v>2496</v>
      </c>
      <c r="G11" s="46" t="n">
        <f aca="false">G8-G10</f>
        <v>0</v>
      </c>
    </row>
    <row r="12" customFormat="false" ht="15" hidden="false" customHeight="true" outlineLevel="0" collapsed="false">
      <c r="B12" s="4" t="s">
        <v>171</v>
      </c>
      <c r="C12" s="9" t="n">
        <f aca="false">C9/C8</f>
        <v>0.0530601383714742</v>
      </c>
      <c r="D12" s="9" t="n">
        <f aca="false">D9/D8</f>
        <v>0.0527970011534025</v>
      </c>
      <c r="E12" s="9" t="n">
        <f aca="false">E9/E8</f>
        <v>0.0524517557734894</v>
      </c>
      <c r="F12" s="9" t="n">
        <f aca="false">F9/F8</f>
        <v>0.0519732205778717</v>
      </c>
      <c r="G12" s="9" t="n">
        <f aca="false">G9/G8</f>
        <v>0.0514022435897436</v>
      </c>
    </row>
    <row r="14" customFormat="false" ht="15" hidden="false" customHeight="true" outlineLevel="0" collapsed="false">
      <c r="B14" s="13" t="s">
        <v>172</v>
      </c>
      <c r="C14" s="13"/>
      <c r="D14" s="13"/>
      <c r="E14" s="13"/>
      <c r="F14" s="13"/>
      <c r="G14" s="13"/>
      <c r="H14" s="13"/>
    </row>
    <row r="15" customFormat="false" ht="15" hidden="false" customHeight="true" outlineLevel="0" collapsed="false"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B16" s="13"/>
      <c r="C16" s="13"/>
      <c r="D16" s="13"/>
      <c r="E16" s="13"/>
      <c r="F16" s="13"/>
      <c r="G16" s="13"/>
      <c r="H16" s="13"/>
    </row>
    <row r="17" customFormat="false" ht="15" hidden="false" customHeight="true" outlineLevel="0" collapsed="false">
      <c r="B17" s="13"/>
      <c r="C17" s="13"/>
      <c r="D17" s="13"/>
      <c r="E17" s="13"/>
      <c r="F17" s="13"/>
      <c r="G17" s="13"/>
      <c r="H17" s="13"/>
    </row>
  </sheetData>
  <mergeCells count="3">
    <mergeCell ref="B2:H2"/>
    <mergeCell ref="B7:H7"/>
    <mergeCell ref="B14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2026-06-29T09:06:59Z</dcterms:created>
  <dc:creator>openpyxl</dc:creator>
  <dc:description/>
  <dc:language>en-US</dc:language>
  <cp:lastModifiedBy/>
  <dcterms:modified xsi:type="dcterms:W3CDTF">2026-06-29T09:09:38Z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