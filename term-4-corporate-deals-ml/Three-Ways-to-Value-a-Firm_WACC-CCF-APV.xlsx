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shFlows" sheetId="2" state="visible" r:id="rId4"/>
    <sheet name="M1_WACC" sheetId="3" state="visible" r:id="rId5"/>
    <sheet name="M2_CCF" sheetId="4" state="visible" r:id="rId6"/>
    <sheet name="M3_APV" sheetId="5" state="visible" r:id="rId7"/>
    <sheet name="Reconcili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<sst xmlns="http://schemas.openxmlformats.org/spreadsheetml/2006/main" count="135" uniqueCount="110">
  <si>
    <t xml:space="preserve">Three Ways to Value One Firm — WACC vs CCF vs APV</t>
  </si>
  <si>
    <t xml:space="preserve">A deliberately simple firm with a FIXED debt-repayment schedule. All three methods give the SAME enterprise value.</t>
  </si>
  <si>
    <t xml:space="preserve">Operating Inputs</t>
  </si>
  <si>
    <t xml:space="preserve">EBIT — Year 1 ($MM)</t>
  </si>
  <si>
    <t xml:space="preserve">Flat EBIT for simplicity (no growth)</t>
  </si>
  <si>
    <t xml:space="preserve">EBIT growth rate</t>
  </si>
  <si>
    <t xml:space="preserve">Set to 0% so cash flow is constant &amp; easy to trace</t>
  </si>
  <si>
    <t xml:space="preserve">Tax rate (t)</t>
  </si>
  <si>
    <t xml:space="preserve">Clean round number</t>
  </si>
  <si>
    <t xml:space="preserve">D&amp;A ($MM, = CapEx, so they cancel)</t>
  </si>
  <si>
    <t xml:space="preserve">D&amp;A = CapEx → no net reinvestment, keeps FCFF clean</t>
  </si>
  <si>
    <t xml:space="preserve">CapEx ($MM)</t>
  </si>
  <si>
    <t xml:space="preserve">Equals D&amp;A on purpose</t>
  </si>
  <si>
    <t xml:space="preserve">Change in NWC ($MM)</t>
  </si>
  <si>
    <t xml:space="preserve">Zero for simplicity</t>
  </si>
  <si>
    <t xml:space="preserve">Discount Rates</t>
  </si>
  <si>
    <t xml:space="preserve">Unlevered cost of equity / asset return (Ka)</t>
  </si>
  <si>
    <t xml:space="preserve">THE key rate. Property of the assets — does NOT change with leverage.</t>
  </si>
  <si>
    <t xml:space="preserve">Pre-tax cost of debt (Kd)</t>
  </si>
  <si>
    <t xml:space="preserve">What lenders charge</t>
  </si>
  <si>
    <t xml:space="preserve">Risk-free rate (for reference)</t>
  </si>
  <si>
    <t xml:space="preserve">Not used directly here; shown for context</t>
  </si>
  <si>
    <t xml:space="preserve">Capital Structure (FIXED debt schedule — the LBO case)</t>
  </si>
  <si>
    <t xml:space="preserve">Opening Debt — Year 1 ($MM)</t>
  </si>
  <si>
    <t xml:space="preserve">High initial leverage, like an LBO</t>
  </si>
  <si>
    <t xml:space="preserve">Annual principal repayment ($MM)</t>
  </si>
  <si>
    <t xml:space="preserve">Fixed $ amount each year → debt deleverages → D/V keeps falling</t>
  </si>
  <si>
    <t xml:space="preserve">THE BIG IDEA: The tax shield (Interest × t) is worth money, so it must be counted EXACTLY ONCE. WACC hides it in the discount rate (after-tax Kd). CCF puts it in the cash flow and discounts at Ka. APV values it as a separate term discounted at Kd. Because debt here is a FIXED schedule, D/V falls every year — so a single WACC is technically wrong, and CCF/APV (which discount operations at the leverage-independent Ka) are the correct tools. Watch the WACC tab: the implied WACC drifts each year, but Ka never moves.</t>
  </si>
  <si>
    <t xml:space="preserve">Debt Schedule &amp; Cash Flows (shared by all methods)</t>
  </si>
  <si>
    <t xml:space="preserve">Period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</si>
  <si>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</si>
  <si>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</si>
  <si>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</si>
  <si>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</si>
  <si>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</si>
  <si>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Debt Schedule (fixed repayment)</t>
  </si>
  <si>
    <t xml:space="preserve">Opening Debt</t>
  </si>
  <si>
    <t xml:space="preserve">Interest = Opening Debt × Kd</t>
  </si>
  <si>
    <t xml:space="preserve">Principal Repayment</t>
  </si>
  <si>
    <t xml:space="preserve">Closing Debt</t>
  </si>
  <si>
    <t xml:space="preserve">Tax Shield = Interest × t</t>
  </si>
  <si>
    <t xml:space="preserve">Operating Cash Flow Build</t>
  </si>
  <si>
    <t xml:space="preserve">EBIT</t>
  </si>
  <si>
    <t xml:space="preserve">NOPAT = EBIT × (1 − t)</t>
  </si>
  <si>
    <t xml:space="preserve">+ D&amp;A</t>
  </si>
  <si>
    <t xml:space="preserve">− CapEx</t>
  </si>
  <si>
    <t xml:space="preserve">− Change in NWC</t>
  </si>
  <si>
    <t xml:space="preserve">FCFF (Unlevered Free Cash Flow)</t>
  </si>
  <si>
    <t xml:space="preserve">CCF = FCFF + Tax Shield</t>
  </si>
  <si>
    <t xml:space="preserve">This tab feeds all three valuation tabs. FCFF (navy) and CCF (green) differ by exactly the Tax Shield row above.</t>
  </si>
  <si>
    <t xml:space="preserve">METHOD 1 — FCFF discounted at WACC</t>
  </si>
  <si>
    <t xml:space="preserve">Shield lives in the DISCOUNT RATE (after-tax Kd). Assumes a CONSTANT target D/V. We use a single target WACC here — but note the implied WACC actually drifts (shown below), which is exactly why this method is imperfect for deleveraging firms.</t>
  </si>
  <si>
    <t xml:space="preserve">WACC Inputs (target capital structure simplification)</t>
  </si>
  <si>
    <t xml:space="preserve">Target Debt / Value (D/V) — assumption</t>
  </si>
  <si>
    <t xml:space="preserve">Relevered Ke = Ka + (Ka−Kd)×(D/E)</t>
  </si>
  <si>
    <t xml:space="preserve">WACC = (1−D/V)×Ke + (D/V)×Kd×(1−t)</t>
  </si>
  <si>
    <t xml:space="preserve">Discount FCFF at WACC</t>
  </si>
  <si>
    <t xml:space="preserve">FCFF (from CashFlows tab)</t>
  </si>
  <si>
    <t xml:space="preserve">Discount factor = 1/(1+WACC)^t</t>
  </si>
  <si>
    <t xml:space="preserve">PV of FCFF</t>
  </si>
  <si>
    <t xml:space="preserve">Terminal Value = FCFF₅ / Ka  (debt-free terminal)</t>
  </si>
  <si>
    <t xml:space="preserve">PV of Terminal Value</t>
  </si>
  <si>
    <t xml:space="preserve">ENTERPRISE VALUE (WACC method)</t>
  </si>
  <si>
    <t xml:space="preserve">⚠ Why a single WACC is imperfect here: implied annual D/V and WACC</t>
  </si>
  <si>
    <t xml:space="preserve">Opening Debt (from CashFlows)</t>
  </si>
  <si>
    <t xml:space="preserve">(Debt falls every year, so true D/V and true WACC drift — a constant WACC can't capture this. CCF &amp; APV fix it.)</t>
  </si>
  <si>
    <t xml:space="preserve">METHOD 2 — Capital Cash Flow (CCF) discounted at Ka</t>
  </si>
  <si>
    <t xml:space="preserve">Shield lives in the CASH FLOW (CCF = FCFF + shield). Discount EVERYTHING at Ka — the leverage-independent asset rate. Ka never changes, so deleveraging is no problem.</t>
  </si>
  <si>
    <t xml:space="preserve">CCF (from CashFlows tab)</t>
  </si>
  <si>
    <t xml:space="preserve">Discount factor = 1/(1+Ka)^t</t>
  </si>
  <si>
    <t xml:space="preserve">PV of CCF</t>
  </si>
  <si>
    <t xml:space="preserve">Terminal Value = FCFF₅ / Ka  (debt-free, no shield)</t>
  </si>
  <si>
    <t xml:space="preserve">ENTERPRISE VALUE (CCF method)</t>
  </si>
  <si>
    <t xml:space="preserve">Note: TV uses CCF₅/Ka. In a true steady state, debt would stabilise; the no-growth perpetuity keeps the teaching example clean and comparable across all three methods.</t>
  </si>
  <si>
    <t xml:space="preserve">METHOD 3 — Adjusted Present Value (APV)</t>
  </si>
  <si>
    <t xml:space="preserve">Value the unlevered business (FCFF at Ka) + value the tax shield SEPARATELY (shield at Kd, because debt is a fixed schedule). Two pieces, added together.</t>
  </si>
  <si>
    <t xml:space="preserve">Piece 1 — Unlevered business value (FCFF at Ka)</t>
  </si>
  <si>
    <t xml:space="preserve">PV of FCFF at Ka</t>
  </si>
  <si>
    <t xml:space="preserve">Terminal Value = FCFF₅ / Ka</t>
  </si>
  <si>
    <t xml:space="preserve">Unlevered Enterprise Value (Vu)</t>
  </si>
  <si>
    <t xml:space="preserve">Piece 2 — PV of the Tax Shield (at Kd, fixed-schedule logic)</t>
  </si>
  <si>
    <t xml:space="preserve">Tax Shield (from CashFlows tab)</t>
  </si>
  <si>
    <t xml:space="preserve">Discount factor = 1/(1+Kd)^t</t>
  </si>
  <si>
    <t xml:space="preserve">PV of Tax Shield</t>
  </si>
  <si>
    <t xml:space="preserve">Terminal shield value = 0 (debt fully repaid by Year 5)</t>
  </si>
  <si>
    <t xml:space="preserve">PV of Terminal Shield</t>
  </si>
  <si>
    <t xml:space="preserve">PV of Tax Shield (total)</t>
  </si>
  <si>
    <t xml:space="preserve">ENTERPRISE VALUE (APV) = Vu + PV(shield)</t>
  </si>
  <si>
    <t xml:space="preserve">APV makes the shield VISIBLE as its own number — you can literally see how much value the debt adds. In a real LBO you would also SUBTRACT PV of expected bankruptcy/distress costs here as a third piece. We omit it in this clean example.</t>
  </si>
  <si>
    <t xml:space="preserve">Reconciliation — All Three Tie Out</t>
  </si>
  <si>
    <t xml:space="preserve">Enterprise Value by method</t>
  </si>
  <si>
    <t xml:space="preserve">Method 1 — FCFF / WACC</t>
  </si>
  <si>
    <t xml:space="preserve">Shield in the discount rate</t>
  </si>
  <si>
    <t xml:space="preserve">Method 2 — CCF / Ka</t>
  </si>
  <si>
    <t xml:space="preserve">Shield inside the cash flow</t>
  </si>
  <si>
    <t xml:space="preserve">Method 3 — APV (Vu + shield)</t>
  </si>
  <si>
    <t xml:space="preserve">Shield as a separate line item</t>
  </si>
  <si>
    <t xml:space="preserve">Differences (should be ~0, tiny rounding only from TV conventions)</t>
  </si>
  <si>
    <t xml:space="preserve">CCF − WACC</t>
  </si>
  <si>
    <t xml:space="preserve">APV − CCF</t>
  </si>
  <si>
    <t xml:space="preserve">WHY CCF ≈ APV (within rounding):</t>
  </si>
  <si>
    <t xml:space="preserve">Both discount operating cash at Ka. They differ ONLY in the shield's discount rate — APV uses Kd (6%), CCF effectively uses Ka (10%). With a fixed debt schedule, Kd is the more correct shield rate, so APV is marginally higher. Tiny gap = pure shield-rate choice.</t>
  </si>
  <si>
    <t xml:space="preserve">WHY WACC differs (~$40):</t>
  </si>
  <si>
    <t xml:space="preserve">WACC bakes in a CONSTANT 40% target D/V for years 1–5. But the actual debt deleverages 100%→0% of book. A single WACC cannot track a changing capital structure — THIS IS THE WHOLE POINT. For deleveraging firms, trust CCF / APV, not a single WACC.</t>
  </si>
  <si>
    <t xml:space="preserve">The takeaway:</t>
  </si>
  <si>
    <t xml:space="preserve">When leverage is stable → all three agree and WACC is easiest. When leverage changes (LBOs) → WACC drifts and is wrong; CCF and APV stay correct because they discount operations at the leverage-independent Ka.</t>
  </si>
  <si>
    <t xml:space="preserve">Debt = fixed $ schedule, want shield visible</t>
  </si>
  <si>
    <t xml:space="preserve">Use APV (shield at Kd, shown as its own number).</t>
  </si>
  <si>
    <t xml:space="preserve">Leverage scales with firm value</t>
  </si>
  <si>
    <t xml:space="preserve">Use CCF (shield at Ka, folded into cash flow).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</si>
</sst>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;&quot;($&quot;#,##0.0\);\-"/>
    <numFmt numFmtId="166" formatCode="0.0%"/>
    <numFmt numFmtId="167" formatCode="0.00%;\(0.00%\);\-"/>
    <numFmt numFmtId="168" formatCode="0"/>
    <numFmt numFmtId="169" formatCode="0.0000"/>
    <numFmt numFmtId="170" formatCode="\$#,##0.00;&quot;($&quot;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48235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  <col collapsed="false" customWidth="true" hidden="false" outlineLevel="0" max="9" min="9" style="1" width="3"/>
    <col collapsed="false" customWidth="true" hidden="false" outlineLevel="0" max="10" min="10" style="1" width="50"/>
  </cols>
  <sheetData>
    <row r="2" customFormat="false" ht="25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n">
        <v>1000</v>
      </c>
      <c r="J6" s="7" t="s">
        <v>4</v>
      </c>
    </row>
    <row r="7" customFormat="false" ht="15" hidden="false" customHeight="true" outlineLevel="0" collapsed="false">
      <c r="B7" s="5" t="s">
        <v>5</v>
      </c>
      <c r="C7" s="8" t="n">
        <v>0</v>
      </c>
      <c r="J7" s="7" t="s">
        <v>6</v>
      </c>
    </row>
    <row r="8" customFormat="false" ht="15" hidden="false" customHeight="true" outlineLevel="0" collapsed="false">
      <c r="B8" s="5" t="s">
        <v>7</v>
      </c>
      <c r="C8" s="8" t="n">
        <v>0.3</v>
      </c>
      <c r="J8" s="7" t="s">
        <v>8</v>
      </c>
    </row>
    <row r="9" customFormat="false" ht="15" hidden="false" customHeight="true" outlineLevel="0" collapsed="false">
      <c r="B9" s="5" t="s">
        <v>9</v>
      </c>
      <c r="C9" s="6" t="n">
        <v>200</v>
      </c>
      <c r="J9" s="7" t="s">
        <v>10</v>
      </c>
    </row>
    <row r="10" customFormat="false" ht="15" hidden="false" customHeight="true" outlineLevel="0" collapsed="false">
      <c r="B10" s="5" t="s">
        <v>11</v>
      </c>
      <c r="C10" s="6" t="n">
        <v>200</v>
      </c>
      <c r="J10" s="7" t="s">
        <v>12</v>
      </c>
    </row>
    <row r="11" customFormat="false" ht="15" hidden="false" customHeight="true" outlineLevel="0" collapsed="false">
      <c r="B11" s="5" t="s">
        <v>13</v>
      </c>
      <c r="C11" s="6" t="n">
        <v>0</v>
      </c>
      <c r="J11" s="7" t="s">
        <v>14</v>
      </c>
    </row>
    <row r="13" customFormat="false" ht="15" hidden="false" customHeight="true" outlineLevel="0" collapsed="false">
      <c r="B13" s="4" t="s">
        <v>15</v>
      </c>
    </row>
    <row r="14" customFormat="false" ht="15" hidden="false" customHeight="true" outlineLevel="0" collapsed="false">
      <c r="B14" s="5" t="s">
        <v>16</v>
      </c>
      <c r="C14" s="8" t="n">
        <v>0.1</v>
      </c>
      <c r="J14" s="7" t="s">
        <v>17</v>
      </c>
    </row>
    <row r="15" customFormat="false" ht="15" hidden="false" customHeight="true" outlineLevel="0" collapsed="false">
      <c r="B15" s="5" t="s">
        <v>18</v>
      </c>
      <c r="C15" s="8" t="n">
        <v>0.06</v>
      </c>
      <c r="J15" s="7" t="s">
        <v>19</v>
      </c>
    </row>
    <row r="16" customFormat="false" ht="15" hidden="false" customHeight="true" outlineLevel="0" collapsed="false">
      <c r="B16" s="5" t="s">
        <v>20</v>
      </c>
      <c r="C16" s="8" t="n">
        <v>0.04</v>
      </c>
      <c r="J16" s="7" t="s">
        <v>21</v>
      </c>
    </row>
    <row r="18" customFormat="false" ht="15" hidden="false" customHeight="true" outlineLevel="0" collapsed="false">
      <c r="B18" s="4" t="s">
        <v>22</v>
      </c>
    </row>
    <row r="19" customFormat="false" ht="15" hidden="false" customHeight="true" outlineLevel="0" collapsed="false">
      <c r="B19" s="5" t="s">
        <v>23</v>
      </c>
      <c r="C19" s="6" t="n">
        <v>3500</v>
      </c>
      <c r="J19" s="7" t="s">
        <v>24</v>
      </c>
    </row>
    <row r="20" customFormat="false" ht="15" hidden="false" customHeight="true" outlineLevel="0" collapsed="false">
      <c r="B20" s="5" t="s">
        <v>25</v>
      </c>
      <c r="C20" s="6" t="n">
        <v>700</v>
      </c>
      <c r="J20" s="7" t="s">
        <v>26</v>
      </c>
    </row>
    <row r="22" customFormat="false" ht="15" hidden="false" customHeight="true" outlineLevel="0" collapsed="false">
      <c r="B22" s="9" t="s">
        <v>27</v>
      </c>
      <c r="C22" s="9"/>
      <c r="D22" s="9"/>
      <c r="E22" s="9"/>
      <c r="F22" s="9"/>
      <c r="G22" s="9"/>
      <c r="H22" s="9"/>
    </row>
    <row r="23" customFormat="false" ht="15" hidden="false" customHeight="true" outlineLevel="0" collapsed="false">
      <c r="B23" s="9"/>
      <c r="C23" s="9"/>
      <c r="D23" s="9"/>
      <c r="E23" s="9"/>
      <c r="F23" s="9"/>
      <c r="G23" s="9"/>
      <c r="H23" s="9"/>
    </row>
    <row r="24" customFormat="false" ht="15" hidden="false" customHeight="true" outlineLevel="0" collapsed="false">
      <c r="B24" s="9"/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9"/>
      <c r="C26" s="9"/>
      <c r="D26" s="9"/>
      <c r="E26" s="9"/>
      <c r="F26" s="9"/>
      <c r="G26" s="9"/>
      <c r="H26" s="9"/>
    </row>
  </sheetData>
  <mergeCells count="3">
    <mergeCell ref="B2:H2"/>
    <mergeCell ref="B3:H3"/>
    <mergeCell ref="B22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28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29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</row>
    <row r="5" customFormat="false" ht="15" hidden="false" customHeight="true" outlineLevel="0" collapsed="false">
      <c r="B5" s="12" t="s">
        <v>35</v>
      </c>
      <c r="C5" s="12"/>
      <c r="D5" s="12"/>
      <c r="E5" s="12"/>
      <c r="F5" s="12"/>
      <c r="G5" s="12"/>
      <c r="H5" s="12"/>
    </row>
    <row r="6" customFormat="false" ht="15" hidden="false" customHeight="true" outlineLevel="0" collapsed="false">
      <c r="B6" s="5" t="s">
        <v>36</v>
      </c>
      <c r="C6" s="13" t="n">
        <f aca="false">Assumptions!$C$19</f>
        <v>3500</v>
      </c>
      <c r="D6" s="13" t="n">
        <f aca="false">C6-C8</f>
        <v>2800</v>
      </c>
      <c r="E6" s="13" t="n">
        <f aca="false">D6-D8</f>
        <v>2100</v>
      </c>
      <c r="F6" s="13" t="n">
        <f aca="false">E6-E8</f>
        <v>1400</v>
      </c>
      <c r="G6" s="13" t="n">
        <f aca="false">F6-F8</f>
        <v>700</v>
      </c>
    </row>
    <row r="7" customFormat="false" ht="15" hidden="false" customHeight="true" outlineLevel="0" collapsed="false">
      <c r="B7" s="5" t="s">
        <v>37</v>
      </c>
      <c r="C7" s="13" t="n">
        <f aca="false">C6*Assumptions!$C$15</f>
        <v>210</v>
      </c>
      <c r="D7" s="13" t="n">
        <f aca="false">D6*Assumptions!$C$15</f>
        <v>168</v>
      </c>
      <c r="E7" s="13" t="n">
        <f aca="false">E6*Assumptions!$C$15</f>
        <v>126</v>
      </c>
      <c r="F7" s="13" t="n">
        <f aca="false">F6*Assumptions!$C$15</f>
        <v>84</v>
      </c>
      <c r="G7" s="13" t="n">
        <f aca="false">G6*Assumptions!$C$15</f>
        <v>42</v>
      </c>
    </row>
    <row r="8" customFormat="false" ht="15" hidden="false" customHeight="true" outlineLevel="0" collapsed="false">
      <c r="B8" s="5" t="s">
        <v>38</v>
      </c>
      <c r="C8" s="13" t="n">
        <f aca="false">MIN(Assumptions!$C$20,C6)</f>
        <v>700</v>
      </c>
      <c r="D8" s="13" t="n">
        <f aca="false">MIN(Assumptions!$C$20,D6)</f>
        <v>700</v>
      </c>
      <c r="E8" s="13" t="n">
        <f aca="false">MIN(Assumptions!$C$20,E6)</f>
        <v>700</v>
      </c>
      <c r="F8" s="13" t="n">
        <f aca="false">MIN(Assumptions!$C$20,F6)</f>
        <v>700</v>
      </c>
      <c r="G8" s="13" t="n">
        <f aca="false">MIN(Assumptions!$C$20,G6)</f>
        <v>700</v>
      </c>
    </row>
    <row r="9" customFormat="false" ht="15" hidden="false" customHeight="true" outlineLevel="0" collapsed="false">
      <c r="B9" s="14" t="s">
        <v>39</v>
      </c>
      <c r="C9" s="15" t="n">
        <f aca="false">C6-C8</f>
        <v>2800</v>
      </c>
      <c r="D9" s="15" t="n">
        <f aca="false">D6-D8</f>
        <v>2100</v>
      </c>
      <c r="E9" s="15" t="n">
        <f aca="false">E6-E8</f>
        <v>1400</v>
      </c>
      <c r="F9" s="15" t="n">
        <f aca="false">F6-F8</f>
        <v>700</v>
      </c>
      <c r="G9" s="15" t="n">
        <f aca="false">G6-G8</f>
        <v>0</v>
      </c>
    </row>
    <row r="10" customFormat="false" ht="15" hidden="false" customHeight="true" outlineLevel="0" collapsed="false">
      <c r="B10" s="16" t="s">
        <v>40</v>
      </c>
      <c r="C10" s="17" t="n">
        <f aca="false">C7*Assumptions!$C$8</f>
        <v>63</v>
      </c>
      <c r="D10" s="17" t="n">
        <f aca="false">D7*Assumptions!$C$8</f>
        <v>50.4</v>
      </c>
      <c r="E10" s="17" t="n">
        <f aca="false">E7*Assumptions!$C$8</f>
        <v>37.8</v>
      </c>
      <c r="F10" s="17" t="n">
        <f aca="false">F7*Assumptions!$C$8</f>
        <v>25.2</v>
      </c>
      <c r="G10" s="17" t="n">
        <f aca="false">G7*Assumptions!$C$8</f>
        <v>12.6</v>
      </c>
    </row>
    <row r="12" customFormat="false" ht="15" hidden="false" customHeight="true" outlineLevel="0" collapsed="false">
      <c r="B12" s="12" t="s">
        <v>41</v>
      </c>
      <c r="C12" s="12"/>
      <c r="D12" s="12"/>
      <c r="E12" s="12"/>
      <c r="F12" s="12"/>
      <c r="G12" s="12"/>
      <c r="H12" s="12"/>
    </row>
    <row r="13" customFormat="false" ht="15" hidden="false" customHeight="true" outlineLevel="0" collapsed="false">
      <c r="B13" s="5" t="s">
        <v>42</v>
      </c>
      <c r="C13" s="13" t="n">
        <f aca="false">Assumptions!$C$6</f>
        <v>1000</v>
      </c>
      <c r="D13" s="13" t="n">
        <f aca="false">C13*(1+Assumptions!$C$7)</f>
        <v>1000</v>
      </c>
      <c r="E13" s="13" t="n">
        <f aca="false">D13*(1+Assumptions!$C$7)</f>
        <v>1000</v>
      </c>
      <c r="F13" s="13" t="n">
        <f aca="false">E13*(1+Assumptions!$C$7)</f>
        <v>1000</v>
      </c>
      <c r="G13" s="13" t="n">
        <f aca="false">F13*(1+Assumptions!$C$7)</f>
        <v>1000</v>
      </c>
    </row>
    <row r="14" customFormat="false" ht="15" hidden="false" customHeight="true" outlineLevel="0" collapsed="false">
      <c r="B14" s="14" t="s">
        <v>43</v>
      </c>
      <c r="C14" s="15" t="n">
        <f aca="false">C13*(1-Assumptions!$C$8)</f>
        <v>700</v>
      </c>
      <c r="D14" s="15" t="n">
        <f aca="false">D13*(1-Assumptions!$C$8)</f>
        <v>700</v>
      </c>
      <c r="E14" s="15" t="n">
        <f aca="false">E13*(1-Assumptions!$C$8)</f>
        <v>700</v>
      </c>
      <c r="F14" s="15" t="n">
        <f aca="false">F13*(1-Assumptions!$C$8)</f>
        <v>700</v>
      </c>
      <c r="G14" s="15" t="n">
        <f aca="false">G13*(1-Assumptions!$C$8)</f>
        <v>700</v>
      </c>
    </row>
    <row r="15" customFormat="false" ht="15" hidden="false" customHeight="true" outlineLevel="0" collapsed="false">
      <c r="B15" s="5" t="s">
        <v>44</v>
      </c>
      <c r="C15" s="13" t="n">
        <f aca="false">Assumptions!$C$9</f>
        <v>200</v>
      </c>
      <c r="D15" s="13" t="n">
        <f aca="false">Assumptions!$C$9</f>
        <v>200</v>
      </c>
      <c r="E15" s="13" t="n">
        <f aca="false">Assumptions!$C$9</f>
        <v>200</v>
      </c>
      <c r="F15" s="13" t="n">
        <f aca="false">Assumptions!$C$9</f>
        <v>200</v>
      </c>
      <c r="G15" s="13" t="n">
        <f aca="false">Assumptions!$C$9</f>
        <v>200</v>
      </c>
    </row>
    <row r="16" customFormat="false" ht="15" hidden="false" customHeight="true" outlineLevel="0" collapsed="false">
      <c r="B16" s="5" t="s">
        <v>45</v>
      </c>
      <c r="C16" s="13" t="n">
        <f aca="false">-Assumptions!$C$10</f>
        <v>-200</v>
      </c>
      <c r="D16" s="13" t="n">
        <f aca="false">-Assumptions!$C$10</f>
        <v>-200</v>
      </c>
      <c r="E16" s="13" t="n">
        <f aca="false">-Assumptions!$C$10</f>
        <v>-200</v>
      </c>
      <c r="F16" s="13" t="n">
        <f aca="false">-Assumptions!$C$10</f>
        <v>-200</v>
      </c>
      <c r="G16" s="13" t="n">
        <f aca="false">-Assumptions!$C$10</f>
        <v>-200</v>
      </c>
    </row>
    <row r="17" customFormat="false" ht="15" hidden="false" customHeight="true" outlineLevel="0" collapsed="false">
      <c r="B17" s="5" t="s">
        <v>46</v>
      </c>
      <c r="C17" s="13" t="n">
        <f aca="false">-Assumptions!$C$11</f>
        <v>-0</v>
      </c>
      <c r="D17" s="13" t="n">
        <f aca="false">-Assumptions!$C$11</f>
        <v>-0</v>
      </c>
      <c r="E17" s="13" t="n">
        <f aca="false">-Assumptions!$C$11</f>
        <v>-0</v>
      </c>
      <c r="F17" s="13" t="n">
        <f aca="false">-Assumptions!$C$11</f>
        <v>-0</v>
      </c>
      <c r="G17" s="13" t="n">
        <f aca="false">-Assumptions!$C$11</f>
        <v>-0</v>
      </c>
    </row>
    <row r="18" customFormat="false" ht="15" hidden="false" customHeight="true" outlineLevel="0" collapsed="false">
      <c r="B18" s="18" t="s">
        <v>47</v>
      </c>
      <c r="C18" s="19" t="n">
        <f aca="false">C14+C15+C16+C17</f>
        <v>700</v>
      </c>
      <c r="D18" s="19" t="n">
        <f aca="false">D14+D15+D16+D17</f>
        <v>700</v>
      </c>
      <c r="E18" s="19" t="n">
        <f aca="false">E14+E15+E16+E17</f>
        <v>700</v>
      </c>
      <c r="F18" s="19" t="n">
        <f aca="false">F14+F15+F16+F17</f>
        <v>700</v>
      </c>
      <c r="G18" s="19" t="n">
        <f aca="false">G14+G15+G16+G17</f>
        <v>700</v>
      </c>
    </row>
    <row r="19" customFormat="false" ht="15" hidden="false" customHeight="true" outlineLevel="0" collapsed="false">
      <c r="B19" s="20" t="s">
        <v>48</v>
      </c>
      <c r="C19" s="21" t="n">
        <f aca="false">C18+C10</f>
        <v>763</v>
      </c>
      <c r="D19" s="21" t="n">
        <f aca="false">D18+D10</f>
        <v>750.4</v>
      </c>
      <c r="E19" s="21" t="n">
        <f aca="false">E18+E10</f>
        <v>737.8</v>
      </c>
      <c r="F19" s="21" t="n">
        <f aca="false">F18+F10</f>
        <v>725.2</v>
      </c>
      <c r="G19" s="21" t="n">
        <f aca="false">G18+G10</f>
        <v>712.6</v>
      </c>
    </row>
    <row r="21" customFormat="false" ht="15" hidden="false" customHeight="true" outlineLevel="0" collapsed="false">
      <c r="B21" s="22" t="s">
        <v>49</v>
      </c>
      <c r="C21" s="22"/>
      <c r="D21" s="22"/>
      <c r="E21" s="22"/>
      <c r="F21" s="22"/>
      <c r="G21" s="22"/>
      <c r="H21" s="22"/>
    </row>
  </sheetData>
  <mergeCells count="4">
    <mergeCell ref="B2:H2"/>
    <mergeCell ref="B5:H5"/>
    <mergeCell ref="B12:H12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50</v>
      </c>
      <c r="C2" s="2"/>
      <c r="D2" s="2"/>
      <c r="E2" s="2"/>
      <c r="F2" s="2"/>
      <c r="G2" s="2"/>
      <c r="H2" s="2"/>
    </row>
    <row r="3" customFormat="false" ht="42" hidden="false" customHeight="true" outlineLevel="0" collapsed="false">
      <c r="B3" s="23" t="s">
        <v>51</v>
      </c>
      <c r="C3" s="23"/>
      <c r="D3" s="23"/>
      <c r="E3" s="23"/>
      <c r="F3" s="23"/>
      <c r="G3" s="23"/>
      <c r="H3" s="23"/>
    </row>
    <row r="5" customFormat="false" ht="15" hidden="false" customHeight="true" outlineLevel="0" collapsed="false">
      <c r="B5" s="10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</row>
    <row r="6" customFormat="false" ht="15" hidden="false" customHeight="true" outlineLevel="0" collapsed="false">
      <c r="B6" s="12" t="s">
        <v>52</v>
      </c>
      <c r="C6" s="12"/>
      <c r="D6" s="12"/>
      <c r="E6" s="12"/>
      <c r="F6" s="12"/>
      <c r="G6" s="12"/>
      <c r="H6" s="12"/>
    </row>
    <row r="7" customFormat="false" ht="15" hidden="false" customHeight="true" outlineLevel="0" collapsed="false">
      <c r="B7" s="5" t="s">
        <v>53</v>
      </c>
      <c r="C7" s="8" t="n">
        <v>0.4</v>
      </c>
      <c r="J7" s="7"/>
    </row>
    <row r="8" customFormat="false" ht="15" hidden="false" customHeight="true" outlineLevel="0" collapsed="false">
      <c r="B8" s="5" t="s">
        <v>54</v>
      </c>
      <c r="C8" s="24" t="n">
        <f aca="false">Assumptions!$C$14+(Assumptions!$C$14-Assumptions!$C$15)*(M1_WACC!$C$7/(1-M1_WACC!$C$7))</f>
        <v>0.126666666666667</v>
      </c>
    </row>
    <row r="9" customFormat="false" ht="15" hidden="false" customHeight="true" outlineLevel="0" collapsed="false">
      <c r="B9" s="16" t="s">
        <v>55</v>
      </c>
      <c r="C9" s="25" t="n">
        <f aca="false">(1-M1_WACC!$C$7)*C8+M1_WACC!$C$7*Assumptions!$C$15*(1-Assumptions!$C$8)</f>
        <v>0.0928</v>
      </c>
    </row>
    <row r="11" customFormat="false" ht="15" hidden="false" customHeight="true" outlineLevel="0" collapsed="false">
      <c r="B11" s="12" t="s">
        <v>56</v>
      </c>
      <c r="C11" s="12"/>
      <c r="D11" s="12"/>
      <c r="E11" s="12"/>
      <c r="F11" s="12"/>
      <c r="G11" s="12"/>
      <c r="H11" s="12"/>
    </row>
    <row r="12" customFormat="false" ht="15" hidden="false" customHeight="true" outlineLevel="0" collapsed="false">
      <c r="B12" s="5" t="s">
        <v>57</v>
      </c>
      <c r="C12" s="26" t="n">
        <f aca="false">CashFlows!$C$18</f>
        <v>700</v>
      </c>
      <c r="D12" s="26" t="n">
        <f aca="false">CashFlows!$D$18</f>
        <v>700</v>
      </c>
      <c r="E12" s="26" t="n">
        <f aca="false">CashFlows!$E$18</f>
        <v>700</v>
      </c>
      <c r="F12" s="26" t="n">
        <f aca="false">CashFlows!$F$18</f>
        <v>700</v>
      </c>
      <c r="G12" s="26" t="n">
        <f aca="false">CashFlows!$G$18</f>
        <v>700</v>
      </c>
    </row>
    <row r="13" customFormat="false" ht="15" hidden="false" customHeight="true" outlineLevel="0" collapsed="false">
      <c r="B13" s="5" t="s">
        <v>29</v>
      </c>
      <c r="C13" s="27" t="n">
        <v>1</v>
      </c>
      <c r="D13" s="27" t="n">
        <v>2</v>
      </c>
      <c r="E13" s="27" t="n">
        <v>3</v>
      </c>
      <c r="F13" s="27" t="n">
        <v>4</v>
      </c>
      <c r="G13" s="27" t="n">
        <v>5</v>
      </c>
    </row>
    <row r="14" customFormat="false" ht="15" hidden="false" customHeight="true" outlineLevel="0" collapsed="false">
      <c r="B14" s="5" t="s">
        <v>58</v>
      </c>
      <c r="C14" s="28" t="n">
        <f aca="false">1/(1+M1_WACC!$C$9)^C13</f>
        <v>0.915080527086384</v>
      </c>
      <c r="D14" s="28" t="n">
        <f aca="false">1/(1+M1_WACC!$C$9)^D13</f>
        <v>0.837372371052694</v>
      </c>
      <c r="E14" s="28" t="n">
        <f aca="false">1/(1+M1_WACC!$C$9)^E13</f>
        <v>0.766263150670474</v>
      </c>
      <c r="F14" s="28" t="n">
        <f aca="false">1/(1+M1_WACC!$C$9)^F13</f>
        <v>0.70119248780241</v>
      </c>
      <c r="G14" s="28" t="n">
        <f aca="false">1/(1+M1_WACC!$C$9)^G13</f>
        <v>0.641647591327242</v>
      </c>
    </row>
    <row r="15" customFormat="false" ht="15" hidden="false" customHeight="true" outlineLevel="0" collapsed="false">
      <c r="B15" s="14" t="s">
        <v>59</v>
      </c>
      <c r="C15" s="15" t="n">
        <f aca="false">C12*C14</f>
        <v>640.556368960469</v>
      </c>
      <c r="D15" s="15" t="n">
        <f aca="false">D12*D14</f>
        <v>586.160659736886</v>
      </c>
      <c r="E15" s="15" t="n">
        <f aca="false">E12*E14</f>
        <v>536.384205469332</v>
      </c>
      <c r="F15" s="15" t="n">
        <f aca="false">F12*F14</f>
        <v>490.834741461687</v>
      </c>
      <c r="G15" s="15" t="n">
        <f aca="false">G12*G14</f>
        <v>449.153313929069</v>
      </c>
    </row>
    <row r="16" customFormat="false" ht="15" hidden="false" customHeight="true" outlineLevel="0" collapsed="false">
      <c r="B16" s="5" t="s">
        <v>60</v>
      </c>
      <c r="G16" s="13" t="n">
        <f aca="false">G12/Assumptions!$C$14</f>
        <v>7000</v>
      </c>
    </row>
    <row r="17" customFormat="false" ht="15" hidden="false" customHeight="true" outlineLevel="0" collapsed="false">
      <c r="B17" s="5" t="s">
        <v>61</v>
      </c>
      <c r="G17" s="13" t="n">
        <f aca="false">G16*G14</f>
        <v>4491.53313929069</v>
      </c>
    </row>
    <row r="19" customFormat="false" ht="15" hidden="false" customHeight="true" outlineLevel="0" collapsed="false">
      <c r="B19" s="18" t="s">
        <v>62</v>
      </c>
      <c r="C19" s="19" t="n">
        <f aca="false">SUM(C15:G15)+G17</f>
        <v>7194.62242884814</v>
      </c>
    </row>
    <row r="21" customFormat="false" ht="15" hidden="false" customHeight="true" outlineLevel="0" collapsed="false">
      <c r="B21" s="12" t="s">
        <v>63</v>
      </c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B22" s="5" t="s">
        <v>64</v>
      </c>
      <c r="C22" s="26" t="n">
        <f aca="false">CashFlows!$C$6</f>
        <v>3500</v>
      </c>
      <c r="D22" s="26" t="n">
        <f aca="false">CashFlows!$D$6</f>
        <v>2800</v>
      </c>
      <c r="E22" s="26" t="n">
        <f aca="false">CashFlows!$E$6</f>
        <v>2100</v>
      </c>
      <c r="F22" s="26" t="n">
        <f aca="false">CashFlows!$F$6</f>
        <v>1400</v>
      </c>
      <c r="G22" s="26" t="n">
        <f aca="false">CashFlows!$G$6</f>
        <v>700</v>
      </c>
    </row>
    <row r="23" customFormat="false" ht="15" hidden="false" customHeight="true" outlineLevel="0" collapsed="false">
      <c r="B23" s="7" t="s">
        <v>65</v>
      </c>
    </row>
  </sheetData>
  <mergeCells count="5">
    <mergeCell ref="B2:H2"/>
    <mergeCell ref="B3:H3"/>
    <mergeCell ref="B6:H6"/>
    <mergeCell ref="B11:H11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66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29" t="s">
        <v>67</v>
      </c>
      <c r="C3" s="29"/>
      <c r="D3" s="29"/>
      <c r="E3" s="29"/>
      <c r="F3" s="29"/>
      <c r="G3" s="29"/>
      <c r="H3" s="29"/>
    </row>
    <row r="5" customFormat="false" ht="15" hidden="false" customHeight="true" outlineLevel="0" collapsed="false">
      <c r="B5" s="10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</row>
    <row r="6" customFormat="false" ht="15" hidden="false" customHeight="true" outlineLevel="0" collapsed="false">
      <c r="B6" s="5" t="s">
        <v>68</v>
      </c>
      <c r="C6" s="26" t="n">
        <f aca="false">CashFlows!$C$19</f>
        <v>763</v>
      </c>
      <c r="D6" s="26" t="n">
        <f aca="false">CashFlows!$D$19</f>
        <v>750.4</v>
      </c>
      <c r="E6" s="26" t="n">
        <f aca="false">CashFlows!$E$19</f>
        <v>737.8</v>
      </c>
      <c r="F6" s="26" t="n">
        <f aca="false">CashFlows!$F$19</f>
        <v>725.2</v>
      </c>
      <c r="G6" s="26" t="n">
        <f aca="false">CashFlows!$G$19</f>
        <v>712.6</v>
      </c>
    </row>
    <row r="7" customFormat="false" ht="15" hidden="false" customHeight="true" outlineLevel="0" collapsed="false">
      <c r="B7" s="5" t="s">
        <v>29</v>
      </c>
      <c r="C7" s="27" t="n">
        <v>1</v>
      </c>
      <c r="D7" s="27" t="n">
        <v>2</v>
      </c>
      <c r="E7" s="27" t="n">
        <v>3</v>
      </c>
      <c r="F7" s="27" t="n">
        <v>4</v>
      </c>
      <c r="G7" s="27" t="n">
        <v>5</v>
      </c>
    </row>
    <row r="8" customFormat="false" ht="15" hidden="false" customHeight="true" outlineLevel="0" collapsed="false">
      <c r="B8" s="5" t="s">
        <v>69</v>
      </c>
      <c r="C8" s="28" t="n">
        <f aca="false">1/(1+Assumptions!$C$14)^C7</f>
        <v>0.909090909090909</v>
      </c>
      <c r="D8" s="28" t="n">
        <f aca="false">1/(1+Assumptions!$C$14)^D7</f>
        <v>0.826446280991735</v>
      </c>
      <c r="E8" s="28" t="n">
        <f aca="false">1/(1+Assumptions!$C$14)^E7</f>
        <v>0.751314800901578</v>
      </c>
      <c r="F8" s="28" t="n">
        <f aca="false">1/(1+Assumptions!$C$14)^F7</f>
        <v>0.683013455365071</v>
      </c>
      <c r="G8" s="28" t="n">
        <f aca="false">1/(1+Assumptions!$C$14)^G7</f>
        <v>0.620921323059155</v>
      </c>
    </row>
    <row r="9" customFormat="false" ht="15" hidden="false" customHeight="true" outlineLevel="0" collapsed="false">
      <c r="B9" s="14" t="s">
        <v>70</v>
      </c>
      <c r="C9" s="15" t="n">
        <f aca="false">C6*C8</f>
        <v>693.636363636364</v>
      </c>
      <c r="D9" s="15" t="n">
        <f aca="false">D6*D8</f>
        <v>620.165289256198</v>
      </c>
      <c r="E9" s="15" t="n">
        <f aca="false">E6*E8</f>
        <v>554.320060105184</v>
      </c>
      <c r="F9" s="15" t="n">
        <f aca="false">F6*F8</f>
        <v>495.321357830749</v>
      </c>
      <c r="G9" s="15" t="n">
        <f aca="false">G6*G8</f>
        <v>442.468534811954</v>
      </c>
    </row>
    <row r="10" customFormat="false" ht="15" hidden="false" customHeight="true" outlineLevel="0" collapsed="false">
      <c r="B10" s="5" t="s">
        <v>71</v>
      </c>
      <c r="G10" s="13" t="n">
        <f aca="false">CashFlows!$G$18/Assumptions!$C$14</f>
        <v>7000</v>
      </c>
    </row>
    <row r="11" customFormat="false" ht="15" hidden="false" customHeight="true" outlineLevel="0" collapsed="false">
      <c r="B11" s="5" t="s">
        <v>61</v>
      </c>
      <c r="G11" s="13" t="n">
        <f aca="false">G10*G8</f>
        <v>4346.44926141408</v>
      </c>
    </row>
    <row r="13" customFormat="false" ht="15" hidden="false" customHeight="true" outlineLevel="0" collapsed="false">
      <c r="B13" s="20" t="s">
        <v>72</v>
      </c>
      <c r="C13" s="21" t="n">
        <f aca="false">SUM(C9:G9)+G11</f>
        <v>7152.36086705453</v>
      </c>
    </row>
    <row r="15" customFormat="false" ht="18.75" hidden="false" customHeight="true" outlineLevel="0" collapsed="false">
      <c r="B15" s="22" t="s">
        <v>73</v>
      </c>
      <c r="C15" s="22"/>
      <c r="D15" s="22"/>
      <c r="E15" s="22"/>
      <c r="F15" s="22"/>
      <c r="G15" s="22"/>
      <c r="H15" s="22"/>
    </row>
  </sheetData>
  <mergeCells count="3">
    <mergeCell ref="B2:H2"/>
    <mergeCell ref="B3:H3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</cols>
  <sheetData>
    <row r="2" customFormat="false" ht="24" hidden="false" customHeight="true" outlineLevel="0" collapsed="false">
      <c r="B2" s="2" t="s">
        <v>74</v>
      </c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B3" s="30" t="s">
        <v>75</v>
      </c>
      <c r="C3" s="30"/>
      <c r="D3" s="30"/>
      <c r="E3" s="30"/>
      <c r="F3" s="30"/>
      <c r="G3" s="30"/>
      <c r="H3" s="30"/>
    </row>
    <row r="5" customFormat="false" ht="15" hidden="false" customHeight="true" outlineLevel="0" collapsed="false">
      <c r="B5" s="10" t="s">
        <v>29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34</v>
      </c>
    </row>
    <row r="6" customFormat="false" ht="15" hidden="false" customHeight="true" outlineLevel="0" collapsed="false">
      <c r="B6" s="12" t="s">
        <v>76</v>
      </c>
      <c r="C6" s="12"/>
      <c r="D6" s="12"/>
      <c r="E6" s="12"/>
      <c r="F6" s="12"/>
      <c r="G6" s="12"/>
      <c r="H6" s="12"/>
    </row>
    <row r="7" customFormat="false" ht="15" hidden="false" customHeight="true" outlineLevel="0" collapsed="false">
      <c r="B7" s="5" t="s">
        <v>57</v>
      </c>
      <c r="C7" s="26" t="n">
        <f aca="false">CashFlows!$C$18</f>
        <v>700</v>
      </c>
      <c r="D7" s="26" t="n">
        <f aca="false">CashFlows!$D$18</f>
        <v>700</v>
      </c>
      <c r="E7" s="26" t="n">
        <f aca="false">CashFlows!$E$18</f>
        <v>700</v>
      </c>
      <c r="F7" s="26" t="n">
        <f aca="false">CashFlows!$F$18</f>
        <v>700</v>
      </c>
      <c r="G7" s="26" t="n">
        <f aca="false">CashFlows!$G$18</f>
        <v>700</v>
      </c>
    </row>
    <row r="8" customFormat="false" ht="15" hidden="false" customHeight="true" outlineLevel="0" collapsed="false">
      <c r="B8" s="5" t="s">
        <v>29</v>
      </c>
      <c r="C8" s="27" t="n">
        <v>1</v>
      </c>
      <c r="D8" s="27" t="n">
        <v>2</v>
      </c>
      <c r="E8" s="27" t="n">
        <v>3</v>
      </c>
      <c r="F8" s="27" t="n">
        <v>4</v>
      </c>
      <c r="G8" s="27" t="n">
        <v>5</v>
      </c>
    </row>
    <row r="9" customFormat="false" ht="15" hidden="false" customHeight="true" outlineLevel="0" collapsed="false">
      <c r="B9" s="5" t="s">
        <v>69</v>
      </c>
      <c r="C9" s="28" t="n">
        <f aca="false">1/(1+Assumptions!$C$14)^C8</f>
        <v>0.909090909090909</v>
      </c>
      <c r="D9" s="28" t="n">
        <f aca="false">1/(1+Assumptions!$C$14)^D8</f>
        <v>0.826446280991735</v>
      </c>
      <c r="E9" s="28" t="n">
        <f aca="false">1/(1+Assumptions!$C$14)^E8</f>
        <v>0.751314800901578</v>
      </c>
      <c r="F9" s="28" t="n">
        <f aca="false">1/(1+Assumptions!$C$14)^F8</f>
        <v>0.683013455365071</v>
      </c>
      <c r="G9" s="28" t="n">
        <f aca="false">1/(1+Assumptions!$C$14)^G8</f>
        <v>0.620921323059155</v>
      </c>
    </row>
    <row r="10" customFormat="false" ht="15" hidden="false" customHeight="true" outlineLevel="0" collapsed="false">
      <c r="B10" s="14" t="s">
        <v>77</v>
      </c>
      <c r="C10" s="15" t="n">
        <f aca="false">C7*C9</f>
        <v>636.363636363636</v>
      </c>
      <c r="D10" s="15" t="n">
        <f aca="false">D7*D9</f>
        <v>578.512396694215</v>
      </c>
      <c r="E10" s="15" t="n">
        <f aca="false">E7*E9</f>
        <v>525.920360631104</v>
      </c>
      <c r="F10" s="15" t="n">
        <f aca="false">F7*F9</f>
        <v>478.109418755549</v>
      </c>
      <c r="G10" s="15" t="n">
        <f aca="false">G7*G9</f>
        <v>434.644926141408</v>
      </c>
    </row>
    <row r="11" customFormat="false" ht="15" hidden="false" customHeight="true" outlineLevel="0" collapsed="false">
      <c r="B11" s="5" t="s">
        <v>78</v>
      </c>
      <c r="G11" s="13" t="n">
        <f aca="false">G7/Assumptions!$C$14</f>
        <v>7000</v>
      </c>
    </row>
    <row r="12" customFormat="false" ht="15" hidden="false" customHeight="true" outlineLevel="0" collapsed="false">
      <c r="B12" s="5" t="s">
        <v>61</v>
      </c>
      <c r="G12" s="13" t="n">
        <f aca="false">G11*G9</f>
        <v>4346.44926141408</v>
      </c>
    </row>
    <row r="13" customFormat="false" ht="15" hidden="false" customHeight="true" outlineLevel="0" collapsed="false">
      <c r="B13" s="16" t="s">
        <v>79</v>
      </c>
      <c r="C13" s="17" t="n">
        <f aca="false">SUM(C10:G10)+G12</f>
        <v>7000</v>
      </c>
    </row>
    <row r="15" customFormat="false" ht="15" hidden="false" customHeight="true" outlineLevel="0" collapsed="false">
      <c r="B15" s="12" t="s">
        <v>80</v>
      </c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B16" s="5" t="s">
        <v>81</v>
      </c>
      <c r="C16" s="26" t="n">
        <f aca="false">CashFlows!$C$10</f>
        <v>63</v>
      </c>
      <c r="D16" s="26" t="n">
        <f aca="false">CashFlows!$D$10</f>
        <v>50.4</v>
      </c>
      <c r="E16" s="26" t="n">
        <f aca="false">CashFlows!$E$10</f>
        <v>37.8</v>
      </c>
      <c r="F16" s="26" t="n">
        <f aca="false">CashFlows!$F$10</f>
        <v>25.2</v>
      </c>
      <c r="G16" s="26" t="n">
        <f aca="false">CashFlows!$G$10</f>
        <v>12.6</v>
      </c>
    </row>
    <row r="17" customFormat="false" ht="15" hidden="false" customHeight="true" outlineLevel="0" collapsed="false">
      <c r="B17" s="5" t="s">
        <v>82</v>
      </c>
      <c r="C17" s="28" t="n">
        <f aca="false">1/(1+Assumptions!$C$15)^C8</f>
        <v>0.943396226415094</v>
      </c>
      <c r="D17" s="28" t="n">
        <f aca="false">1/(1+Assumptions!$C$15)^D8</f>
        <v>0.88999644001424</v>
      </c>
      <c r="E17" s="28" t="n">
        <f aca="false">1/(1+Assumptions!$C$15)^E8</f>
        <v>0.839619283032302</v>
      </c>
      <c r="F17" s="28" t="n">
        <f aca="false">1/(1+Assumptions!$C$15)^F8</f>
        <v>0.79209366323802</v>
      </c>
      <c r="G17" s="28" t="n">
        <f aca="false">1/(1+Assumptions!$C$15)^G8</f>
        <v>0.747258172866057</v>
      </c>
    </row>
    <row r="18" customFormat="false" ht="15" hidden="false" customHeight="true" outlineLevel="0" collapsed="false">
      <c r="B18" s="14" t="s">
        <v>83</v>
      </c>
      <c r="C18" s="15" t="n">
        <f aca="false">C16*C17</f>
        <v>59.4339622641509</v>
      </c>
      <c r="D18" s="15" t="n">
        <f aca="false">D16*D17</f>
        <v>44.8558205767177</v>
      </c>
      <c r="E18" s="15" t="n">
        <f aca="false">E16*E17</f>
        <v>31.737608898621</v>
      </c>
      <c r="F18" s="15" t="n">
        <f aca="false">F16*F17</f>
        <v>19.9607603135981</v>
      </c>
      <c r="G18" s="15" t="n">
        <f aca="false">G16*G17</f>
        <v>9.41545297811232</v>
      </c>
    </row>
    <row r="19" customFormat="false" ht="15" hidden="false" customHeight="true" outlineLevel="0" collapsed="false">
      <c r="B19" s="5" t="s">
        <v>84</v>
      </c>
      <c r="G19" s="13" t="n">
        <v>0</v>
      </c>
    </row>
    <row r="20" customFormat="false" ht="15" hidden="false" customHeight="true" outlineLevel="0" collapsed="false">
      <c r="B20" s="5" t="s">
        <v>85</v>
      </c>
      <c r="G20" s="13" t="n">
        <v>0</v>
      </c>
    </row>
    <row r="21" customFormat="false" ht="15" hidden="false" customHeight="true" outlineLevel="0" collapsed="false">
      <c r="B21" s="16" t="s">
        <v>86</v>
      </c>
      <c r="C21" s="17" t="n">
        <f aca="false">SUM(C18:G18)+G20</f>
        <v>165.4036050312</v>
      </c>
    </row>
    <row r="23" customFormat="false" ht="15" hidden="false" customHeight="true" outlineLevel="0" collapsed="false">
      <c r="B23" s="18" t="s">
        <v>87</v>
      </c>
      <c r="C23" s="19" t="n">
        <f aca="false">C13+C21</f>
        <v>7165.4036050312</v>
      </c>
    </row>
    <row r="25" customFormat="false" ht="15" hidden="false" customHeight="true" outlineLevel="0" collapsed="false">
      <c r="B25" s="31" t="s">
        <v>88</v>
      </c>
      <c r="C25" s="31"/>
      <c r="D25" s="31"/>
      <c r="E25" s="31"/>
      <c r="F25" s="31"/>
      <c r="G25" s="31"/>
      <c r="H25" s="31"/>
    </row>
    <row r="26" customFormat="false" ht="15" hidden="false" customHeight="true" outlineLevel="0" collapsed="false">
      <c r="B26" s="31"/>
      <c r="C26" s="31"/>
      <c r="D26" s="31"/>
      <c r="E26" s="31"/>
      <c r="F26" s="31"/>
      <c r="G26" s="31"/>
      <c r="H26" s="31"/>
    </row>
    <row r="27" customFormat="false" ht="15" hidden="false" customHeight="true" outlineLevel="0" collapsed="false">
      <c r="B27" s="31"/>
      <c r="C27" s="31"/>
      <c r="D27" s="31"/>
      <c r="E27" s="31"/>
      <c r="F27" s="31"/>
      <c r="G27" s="31"/>
      <c r="H27" s="31"/>
    </row>
  </sheetData>
  <mergeCells count="5">
    <mergeCell ref="B2:H2"/>
    <mergeCell ref="B3:H3"/>
    <mergeCell ref="B6:H6"/>
    <mergeCell ref="B15:H15"/>
    <mergeCell ref="B25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0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58"/>
  </cols>
  <sheetData>
    <row r="2" customFormat="false" ht="25.5" hidden="false" customHeight="true" outlineLevel="0" collapsed="false">
      <c r="B2" s="2" t="s">
        <v>89</v>
      </c>
      <c r="C2" s="2"/>
    </row>
    <row r="4" customFormat="false" ht="15" hidden="false" customHeight="true" outlineLevel="0" collapsed="false">
      <c r="B4" s="4" t="s">
        <v>90</v>
      </c>
    </row>
    <row r="5" customFormat="false" ht="15" hidden="false" customHeight="true" outlineLevel="0" collapsed="false">
      <c r="B5" s="16" t="s">
        <v>91</v>
      </c>
      <c r="C5" s="32" t="n">
        <f aca="false">M1_WACC!$C$19</f>
        <v>7194.62242884814</v>
      </c>
      <c r="E5" s="7" t="s">
        <v>92</v>
      </c>
    </row>
    <row r="6" customFormat="false" ht="15" hidden="false" customHeight="true" outlineLevel="0" collapsed="false">
      <c r="B6" s="16" t="s">
        <v>93</v>
      </c>
      <c r="C6" s="32" t="n">
        <f aca="false">M2_CCF!$C$13</f>
        <v>7152.36086705453</v>
      </c>
      <c r="E6" s="7" t="s">
        <v>94</v>
      </c>
    </row>
    <row r="7" customFormat="false" ht="15" hidden="false" customHeight="true" outlineLevel="0" collapsed="false">
      <c r="B7" s="16" t="s">
        <v>95</v>
      </c>
      <c r="C7" s="32" t="n">
        <f aca="false">M3_APV!$C$23</f>
        <v>7165.4036050312</v>
      </c>
      <c r="E7" s="7" t="s">
        <v>96</v>
      </c>
    </row>
    <row r="9" customFormat="false" ht="15" hidden="false" customHeight="true" outlineLevel="0" collapsed="false">
      <c r="B9" s="4" t="s">
        <v>97</v>
      </c>
    </row>
    <row r="10" customFormat="false" ht="15" hidden="false" customHeight="true" outlineLevel="0" collapsed="false">
      <c r="B10" s="5" t="s">
        <v>98</v>
      </c>
      <c r="C10" s="33" t="n">
        <f aca="false">M2_CCF!$C$13-M1_WACC!$C$19</f>
        <v>-42.2615617936035</v>
      </c>
    </row>
    <row r="11" customFormat="false" ht="15" hidden="false" customHeight="true" outlineLevel="0" collapsed="false">
      <c r="B11" s="5" t="s">
        <v>99</v>
      </c>
      <c r="C11" s="33" t="n">
        <f aca="false">M3_APV!$C$23-M2_CCF!$C$13</f>
        <v>13.0427379766652</v>
      </c>
    </row>
    <row r="13" customFormat="false" ht="15" hidden="false" customHeight="true" outlineLevel="0" collapsed="false">
      <c r="B13" s="34" t="s">
        <v>100</v>
      </c>
      <c r="C13" s="34"/>
      <c r="D13" s="34"/>
      <c r="E13" s="34"/>
    </row>
    <row r="14" customFormat="false" ht="42" hidden="false" customHeight="true" outlineLevel="0" collapsed="false">
      <c r="B14" s="35" t="s">
        <v>101</v>
      </c>
      <c r="C14" s="35"/>
      <c r="D14" s="35"/>
      <c r="E14" s="35"/>
    </row>
    <row r="15" customFormat="false" ht="15" hidden="false" customHeight="true" outlineLevel="0" collapsed="false">
      <c r="B15" s="34" t="s">
        <v>102</v>
      </c>
      <c r="C15" s="34"/>
      <c r="D15" s="34"/>
      <c r="E15" s="34"/>
    </row>
    <row r="16" customFormat="false" ht="42" hidden="false" customHeight="true" outlineLevel="0" collapsed="false">
      <c r="B16" s="36" t="s">
        <v>103</v>
      </c>
      <c r="C16" s="36"/>
      <c r="D16" s="36"/>
      <c r="E16" s="36"/>
    </row>
    <row r="17" customFormat="false" ht="27.75" hidden="false" customHeight="true" outlineLevel="0" collapsed="false">
      <c r="B17" s="37" t="s">
        <v>104</v>
      </c>
      <c r="C17" s="37"/>
      <c r="D17" s="37"/>
      <c r="E17" s="37"/>
    </row>
    <row r="18" customFormat="false" ht="42" hidden="false" customHeight="true" outlineLevel="0" collapsed="false">
      <c r="B18" s="35" t="s">
        <v>105</v>
      </c>
      <c r="C18" s="35"/>
      <c r="D18" s="35"/>
      <c r="E18" s="35"/>
    </row>
    <row r="19" customFormat="false" ht="27.75" hidden="false" customHeight="true" outlineLevel="0" collapsed="false">
      <c r="B19" s="38" t="s">
        <v>106</v>
      </c>
      <c r="C19" s="39" t="s">
        <v>107</v>
      </c>
      <c r="D19" s="39"/>
      <c r="E19" s="39"/>
    </row>
    <row r="20" customFormat="false" ht="27.75" hidden="false" customHeight="true" outlineLevel="0" collapsed="false">
      <c r="B20" s="38" t="s">
        <v>108</v>
      </c>
      <c r="C20" s="39" t="s">
        <v>109</v>
      </c>
      <c r="D20" s="39"/>
      <c r="E20" s="39"/>
    </row>
  </sheetData>
  <mergeCells count="11">
    <mergeCell ref="B2:C2"/>
    <mergeCell ref="B13:E13"/>
    <mergeCell ref="B14:E14"/>
    <mergeCell ref="B15:E15"/>
    <mergeCell ref="B16:E16"/>
    <mergeCell ref="B17:E17"/>
    <mergeCell ref="C17:E17"/>
    <mergeCell ref="B18:E18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2026-06-29T10:05:36Z</dcterms:created>
  <dc:creator>openpyxl</dc:creator>
  <dc:description/>
  <dc:language>en-US</dc:language>
  <cp:lastModifiedBy/>
  <dcterms:modified xsi:type="dcterms:W3CDTF">2026-06-29T10:07:02Z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