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hashrivastava/Desktop/MDI studies/Term 4/IM/5,6,7 Market Efficiency/"/>
    </mc:Choice>
  </mc:AlternateContent>
  <xr:revisionPtr revIDLastSave="0" documentId="13_ncr:1_{4D037A67-7D20-6D42-9671-42AD7BB25271}" xr6:coauthVersionLast="47" xr6:coauthVersionMax="47" xr10:uidLastSave="{00000000-0000-0000-0000-000000000000}"/>
  <bookViews>
    <workbookView xWindow="2040" yWindow="2740" windowWidth="26380" windowHeight="14900" activeTab="1" xr2:uid="{00000000-000D-0000-FFFF-FFFF00000000}"/>
  </bookViews>
  <sheets>
    <sheet name="Run Test" sheetId="1" r:id="rId1"/>
    <sheet name="Serial Correlation Tes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8" i="1"/>
  <c r="E19" i="1"/>
  <c r="E20" i="1"/>
  <c r="E21" i="1"/>
  <c r="E28" i="1"/>
  <c r="E29" i="1"/>
  <c r="E30" i="1"/>
  <c r="E31" i="1"/>
  <c r="E38" i="1"/>
  <c r="E39" i="1"/>
  <c r="E40" i="1"/>
  <c r="E41" i="1"/>
  <c r="E48" i="1"/>
  <c r="E49" i="1"/>
  <c r="E50" i="1"/>
  <c r="E51" i="1"/>
  <c r="E58" i="1"/>
  <c r="E59" i="1"/>
  <c r="E60" i="1"/>
  <c r="E61" i="1"/>
  <c r="E68" i="1"/>
  <c r="E69" i="1"/>
  <c r="E70" i="1"/>
  <c r="E71" i="1"/>
  <c r="E78" i="1"/>
  <c r="E3" i="1"/>
  <c r="D4" i="1"/>
  <c r="E4" i="1" s="1"/>
  <c r="D5" i="1"/>
  <c r="E5" i="1" s="1"/>
  <c r="D6" i="1"/>
  <c r="E6" i="1" s="1"/>
  <c r="D7" i="1"/>
  <c r="E7" i="1" s="1"/>
  <c r="D8" i="1"/>
  <c r="D9" i="1"/>
  <c r="D10" i="1"/>
  <c r="D11" i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D19" i="1"/>
  <c r="D20" i="1"/>
  <c r="D21" i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D29" i="1"/>
  <c r="D30" i="1"/>
  <c r="D31" i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D39" i="1"/>
  <c r="D40" i="1"/>
  <c r="D41" i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D49" i="1"/>
  <c r="D50" i="1"/>
  <c r="D51" i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D59" i="1"/>
  <c r="D60" i="1"/>
  <c r="D61" i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D69" i="1"/>
  <c r="D70" i="1"/>
  <c r="D71" i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D3" i="1"/>
</calcChain>
</file>

<file path=xl/sharedStrings.xml><?xml version="1.0" encoding="utf-8"?>
<sst xmlns="http://schemas.openxmlformats.org/spreadsheetml/2006/main" count="43" uniqueCount="13">
  <si>
    <t>Date</t>
  </si>
  <si>
    <t>Adj Close</t>
  </si>
  <si>
    <t>Return</t>
  </si>
  <si>
    <t>Direction</t>
  </si>
  <si>
    <t>R</t>
  </si>
  <si>
    <t>Runs</t>
  </si>
  <si>
    <t>T-1</t>
  </si>
  <si>
    <t>T-2</t>
  </si>
  <si>
    <t>T-3</t>
  </si>
  <si>
    <t>T-4</t>
  </si>
  <si>
    <t>T-5</t>
  </si>
  <si>
    <t>T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</si>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</sst>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5" applyNumberFormat="0" applyAlignment="0" applyProtection="0"/>
    <xf numFmtId="0" fontId="13" fillId="7" borderId="8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5" applyNumberFormat="0" applyAlignment="0" applyProtection="0"/>
    <xf numFmtId="0" fontId="12" fillId="0" borderId="7" applyNumberFormat="0" applyFill="0" applyAlignment="0" applyProtection="0"/>
    <xf numFmtId="0" fontId="8" fillId="4" borderId="0" applyNumberFormat="0" applyBorder="0" applyAlignment="0" applyProtection="0"/>
    <xf numFmtId="0" fontId="1" fillId="8" borderId="9" applyNumberFormat="0" applyFont="0" applyAlignment="0" applyProtection="0"/>
    <xf numFmtId="0" fontId="10" fillId="6" borderId="6" applyNumberFormat="0" applyAlignment="0" applyProtection="0"/>
    <xf numFmtId="0" fontId="2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4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/>
    <xf numFmtId="0" fontId="20" fillId="0" borderId="1" xfId="0" applyFont="1" applyBorder="1" applyAlignment="1">
      <alignment horizontal="center"/>
    </xf>
    <xf numFmtId="0" fontId="16" fillId="0" borderId="1" xfId="0" applyFont="1" applyBorder="1"/>
    <xf numFmtId="164" fontId="16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0" fontId="16" fillId="0" borderId="1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8"/>
  <sheetViews>
    <sheetView zoomScale="125" workbookViewId="0">
      <selection activeCell="I12" sqref="I12"/>
    </sheetView>
  </sheetViews>
  <sheetFormatPr baseColWidth="10" defaultColWidth="8.83203125" defaultRowHeight="15" x14ac:dyDescent="0.2"/>
  <cols>
    <col min="2" max="2" width="10.6640625" bestFit="1" customWidth="1"/>
  </cols>
  <sheetData>
    <row r="2" spans="2:12" x14ac:dyDescent="0.2">
      <c r="B2" s="5" t="s">
        <v>0</v>
      </c>
      <c r="C2" s="5" t="s">
        <v>1</v>
      </c>
      <c r="D2" s="5" t="s">
        <v>2</v>
      </c>
      <c r="E2" s="5" t="s">
        <v>3</v>
      </c>
      <c r="F2" s="5" t="s">
        <v>5</v>
      </c>
    </row>
    <row r="3" spans="2:12" ht="19" x14ac:dyDescent="0.25">
      <c r="B3" s="1">
        <v>41201</v>
      </c>
      <c r="C3">
        <v>18682.310000000001</v>
      </c>
      <c r="D3">
        <f>C3-C4</f>
        <v>-109.61999999999898</v>
      </c>
      <c r="E3" s="4" t="str">
        <f>IF(D3&gt;0,"+", "-")</f>
        <v>-</v>
      </c>
    </row>
    <row r="4" spans="2:12" ht="19" x14ac:dyDescent="0.25">
      <c r="B4" s="1">
        <v>41200</v>
      </c>
      <c r="C4">
        <v>18791.93</v>
      </c>
      <c r="D4">
        <f t="shared" ref="D4:D67" si="0">C4-C5</f>
        <v>181.15999999999985</v>
      </c>
      <c r="E4" s="4" t="str">
        <f t="shared" ref="E4:E67" si="1">IF(D4&gt;0,"+", "-")</f>
        <v>+</v>
      </c>
      <c r="F4" s="11" t="s">
        <v>12</v>
      </c>
    </row>
    <row r="5" spans="2:12" ht="19" x14ac:dyDescent="0.25">
      <c r="B5" s="1">
        <v>41199</v>
      </c>
      <c r="C5">
        <v>18610.77</v>
      </c>
      <c r="D5">
        <f t="shared" si="0"/>
        <v>33.069999999999709</v>
      </c>
      <c r="E5" s="4" t="str">
        <f t="shared" si="1"/>
        <v>+</v>
      </c>
      <c r="F5" s="11"/>
    </row>
    <row r="6" spans="2:12" ht="19" x14ac:dyDescent="0.25">
      <c r="B6" s="1">
        <v>41198</v>
      </c>
      <c r="C6">
        <v>18577.7</v>
      </c>
      <c r="D6">
        <f t="shared" si="0"/>
        <v>-135.84999999999854</v>
      </c>
      <c r="E6" s="4" t="str">
        <f t="shared" si="1"/>
        <v>-</v>
      </c>
    </row>
    <row r="7" spans="2:12" ht="19" x14ac:dyDescent="0.25">
      <c r="B7" s="1">
        <v>41197</v>
      </c>
      <c r="C7">
        <v>18713.55</v>
      </c>
      <c r="D7">
        <f t="shared" si="0"/>
        <v>38.369999999998981</v>
      </c>
      <c r="E7" s="4" t="str">
        <f t="shared" si="1"/>
        <v>+</v>
      </c>
    </row>
    <row r="8" spans="2:12" ht="19" x14ac:dyDescent="0.25">
      <c r="B8" s="1">
        <v>41194</v>
      </c>
      <c r="C8">
        <v>18675.18</v>
      </c>
      <c r="D8">
        <f t="shared" si="0"/>
        <v>-129.56999999999971</v>
      </c>
      <c r="E8" s="4" t="str">
        <f t="shared" si="1"/>
        <v>-</v>
      </c>
      <c r="G8" s="3"/>
      <c r="H8" s="3"/>
      <c r="I8" s="3"/>
      <c r="J8" s="3"/>
      <c r="K8" s="3"/>
      <c r="L8" s="3"/>
    </row>
    <row r="9" spans="2:12" ht="19" x14ac:dyDescent="0.25">
      <c r="B9" s="1">
        <v>41193</v>
      </c>
      <c r="C9">
        <v>18804.75</v>
      </c>
      <c r="D9">
        <f t="shared" si="0"/>
        <v>173.65000000000146</v>
      </c>
      <c r="E9" s="4" t="str">
        <f t="shared" si="1"/>
        <v>+</v>
      </c>
      <c r="H9" s="2"/>
      <c r="I9" s="2"/>
      <c r="J9" s="2"/>
      <c r="K9" s="2"/>
      <c r="L9" s="2"/>
    </row>
    <row r="10" spans="2:12" ht="19" x14ac:dyDescent="0.25">
      <c r="B10" s="1">
        <v>41192</v>
      </c>
      <c r="C10">
        <v>18631.099999999999</v>
      </c>
      <c r="D10">
        <f t="shared" si="0"/>
        <v>-162.26000000000204</v>
      </c>
      <c r="E10" s="4" t="str">
        <f t="shared" si="1"/>
        <v>-</v>
      </c>
      <c r="H10" s="2"/>
      <c r="I10" s="2"/>
      <c r="J10" s="2"/>
      <c r="K10" s="2"/>
      <c r="L10" s="2"/>
    </row>
    <row r="11" spans="2:12" ht="19" x14ac:dyDescent="0.25">
      <c r="B11" s="1">
        <v>41191</v>
      </c>
      <c r="C11">
        <v>18793.36</v>
      </c>
      <c r="D11">
        <f t="shared" si="0"/>
        <v>84.380000000001019</v>
      </c>
      <c r="E11" s="4" t="str">
        <f t="shared" si="1"/>
        <v>+</v>
      </c>
      <c r="H11" s="2"/>
      <c r="I11" s="2"/>
      <c r="J11" s="2"/>
      <c r="K11" s="2"/>
      <c r="L11" s="2"/>
    </row>
    <row r="12" spans="2:12" ht="19" x14ac:dyDescent="0.25">
      <c r="B12" s="1">
        <v>41190</v>
      </c>
      <c r="C12">
        <v>18708.98</v>
      </c>
      <c r="D12">
        <f t="shared" si="0"/>
        <v>-229.47999999999956</v>
      </c>
      <c r="E12" s="4" t="str">
        <f t="shared" si="1"/>
        <v>-</v>
      </c>
      <c r="H12" s="2"/>
      <c r="I12" s="2"/>
      <c r="J12" s="2"/>
      <c r="K12" s="2"/>
      <c r="L12" s="2"/>
    </row>
    <row r="13" spans="2:12" ht="19" x14ac:dyDescent="0.25">
      <c r="B13" s="1">
        <v>41187</v>
      </c>
      <c r="C13">
        <v>18938.46</v>
      </c>
      <c r="D13">
        <f t="shared" si="0"/>
        <v>-119.69000000000233</v>
      </c>
      <c r="E13" s="4" t="str">
        <f t="shared" si="1"/>
        <v>-</v>
      </c>
      <c r="H13" s="2"/>
      <c r="I13" s="2"/>
      <c r="J13" s="2"/>
      <c r="K13" s="2"/>
      <c r="L13" s="2"/>
    </row>
    <row r="14" spans="2:12" ht="19" x14ac:dyDescent="0.25">
      <c r="B14" s="1">
        <v>41186</v>
      </c>
      <c r="C14">
        <v>19058.150000000001</v>
      </c>
      <c r="D14">
        <f t="shared" si="0"/>
        <v>188.46000000000276</v>
      </c>
      <c r="E14" s="4" t="str">
        <f t="shared" si="1"/>
        <v>+</v>
      </c>
      <c r="F14" s="11" t="s">
        <v>4</v>
      </c>
    </row>
    <row r="15" spans="2:12" ht="19" x14ac:dyDescent="0.25">
      <c r="B15" s="1">
        <v>41185</v>
      </c>
      <c r="C15">
        <v>18869.689999999999</v>
      </c>
      <c r="D15">
        <f t="shared" si="0"/>
        <v>45.779999999998836</v>
      </c>
      <c r="E15" s="4" t="str">
        <f t="shared" si="1"/>
        <v>+</v>
      </c>
      <c r="F15" s="11"/>
    </row>
    <row r="16" spans="2:12" ht="19" x14ac:dyDescent="0.25">
      <c r="B16" s="1">
        <v>41183</v>
      </c>
      <c r="C16">
        <v>18823.91</v>
      </c>
      <c r="D16">
        <f t="shared" si="0"/>
        <v>61.169999999998254</v>
      </c>
      <c r="E16" s="4" t="str">
        <f t="shared" si="1"/>
        <v>+</v>
      </c>
      <c r="F16" s="11"/>
    </row>
    <row r="17" spans="2:6" ht="19" x14ac:dyDescent="0.25">
      <c r="B17" s="1">
        <v>41180</v>
      </c>
      <c r="C17">
        <v>18762.740000000002</v>
      </c>
      <c r="D17">
        <f t="shared" si="0"/>
        <v>183.2400000000016</v>
      </c>
      <c r="E17" s="4" t="str">
        <f t="shared" si="1"/>
        <v>+</v>
      </c>
      <c r="F17" s="11"/>
    </row>
    <row r="18" spans="2:6" ht="19" x14ac:dyDescent="0.25">
      <c r="B18" s="1">
        <v>41179</v>
      </c>
      <c r="C18">
        <v>18579.5</v>
      </c>
      <c r="D18">
        <f t="shared" si="0"/>
        <v>-52.669999999998254</v>
      </c>
      <c r="E18" s="4" t="str">
        <f t="shared" si="1"/>
        <v>-</v>
      </c>
      <c r="F18" s="11" t="s">
        <v>4</v>
      </c>
    </row>
    <row r="19" spans="2:6" ht="19" x14ac:dyDescent="0.25">
      <c r="B19" s="1">
        <v>41178</v>
      </c>
      <c r="C19">
        <v>18632.169999999998</v>
      </c>
      <c r="D19">
        <f t="shared" si="0"/>
        <v>-62.240000000001601</v>
      </c>
      <c r="E19" s="4" t="str">
        <f t="shared" si="1"/>
        <v>-</v>
      </c>
      <c r="F19" s="11"/>
    </row>
    <row r="20" spans="2:6" ht="19" x14ac:dyDescent="0.25">
      <c r="B20" s="1">
        <v>41177</v>
      </c>
      <c r="C20">
        <v>18694.41</v>
      </c>
      <c r="D20">
        <f t="shared" si="0"/>
        <v>21.069999999999709</v>
      </c>
      <c r="E20" s="4" t="str">
        <f t="shared" si="1"/>
        <v>+</v>
      </c>
    </row>
    <row r="21" spans="2:6" ht="19" x14ac:dyDescent="0.25">
      <c r="B21" s="1">
        <v>41176</v>
      </c>
      <c r="C21">
        <v>18673.34</v>
      </c>
      <c r="D21">
        <f t="shared" si="0"/>
        <v>-79.490000000001601</v>
      </c>
      <c r="E21" s="4" t="str">
        <f t="shared" si="1"/>
        <v>-</v>
      </c>
    </row>
    <row r="22" spans="2:6" ht="19" x14ac:dyDescent="0.25">
      <c r="B22" s="1">
        <v>41173</v>
      </c>
      <c r="C22">
        <v>18752.830000000002</v>
      </c>
      <c r="D22">
        <f t="shared" si="0"/>
        <v>403.58000000000175</v>
      </c>
      <c r="E22" s="4" t="str">
        <f t="shared" si="1"/>
        <v>+</v>
      </c>
    </row>
    <row r="23" spans="2:6" ht="19" x14ac:dyDescent="0.25">
      <c r="B23" s="1">
        <v>41172</v>
      </c>
      <c r="C23">
        <v>18349.25</v>
      </c>
      <c r="D23">
        <f t="shared" si="0"/>
        <v>-146.7599999999984</v>
      </c>
      <c r="E23" s="4" t="str">
        <f t="shared" si="1"/>
        <v>-</v>
      </c>
      <c r="F23" s="11" t="s">
        <v>4</v>
      </c>
    </row>
    <row r="24" spans="2:6" ht="19" x14ac:dyDescent="0.25">
      <c r="B24" s="1">
        <v>41170</v>
      </c>
      <c r="C24">
        <v>18496.009999999998</v>
      </c>
      <c r="D24">
        <f t="shared" si="0"/>
        <v>-46.30000000000291</v>
      </c>
      <c r="E24" s="4" t="str">
        <f t="shared" si="1"/>
        <v>-</v>
      </c>
      <c r="F24" s="11"/>
    </row>
    <row r="25" spans="2:6" ht="19" x14ac:dyDescent="0.25">
      <c r="B25" s="1">
        <v>41169</v>
      </c>
      <c r="C25">
        <v>18542.310000000001</v>
      </c>
      <c r="D25">
        <f t="shared" si="0"/>
        <v>78.040000000000873</v>
      </c>
      <c r="E25" s="4" t="str">
        <f t="shared" si="1"/>
        <v>+</v>
      </c>
      <c r="F25" s="11" t="s">
        <v>4</v>
      </c>
    </row>
    <row r="26" spans="2:6" ht="19" x14ac:dyDescent="0.25">
      <c r="B26" s="1">
        <v>41166</v>
      </c>
      <c r="C26">
        <v>18464.27</v>
      </c>
      <c r="D26">
        <f t="shared" si="0"/>
        <v>443.11000000000058</v>
      </c>
      <c r="E26" s="4" t="str">
        <f t="shared" si="1"/>
        <v>+</v>
      </c>
      <c r="F26" s="11"/>
    </row>
    <row r="27" spans="2:6" ht="19" x14ac:dyDescent="0.25">
      <c r="B27" s="1">
        <v>41165</v>
      </c>
      <c r="C27">
        <v>18021.16</v>
      </c>
      <c r="D27">
        <f t="shared" si="0"/>
        <v>21.130000000001019</v>
      </c>
      <c r="E27" s="4" t="str">
        <f t="shared" si="1"/>
        <v>+</v>
      </c>
      <c r="F27" s="11"/>
    </row>
    <row r="28" spans="2:6" ht="19" x14ac:dyDescent="0.25">
      <c r="B28" s="1">
        <v>41164</v>
      </c>
      <c r="C28">
        <v>18000.03</v>
      </c>
      <c r="D28">
        <f t="shared" si="0"/>
        <v>147.07999999999811</v>
      </c>
      <c r="E28" s="4" t="str">
        <f t="shared" si="1"/>
        <v>+</v>
      </c>
      <c r="F28" s="11"/>
    </row>
    <row r="29" spans="2:6" ht="19" x14ac:dyDescent="0.25">
      <c r="B29" s="1">
        <v>41163</v>
      </c>
      <c r="C29">
        <v>17852.95</v>
      </c>
      <c r="D29">
        <f t="shared" si="0"/>
        <v>86.170000000001892</v>
      </c>
      <c r="E29" s="4" t="str">
        <f t="shared" si="1"/>
        <v>+</v>
      </c>
      <c r="F29" s="11"/>
    </row>
    <row r="30" spans="2:6" ht="19" x14ac:dyDescent="0.25">
      <c r="B30" s="1">
        <v>41162</v>
      </c>
      <c r="C30">
        <v>17766.78</v>
      </c>
      <c r="D30">
        <f t="shared" si="0"/>
        <v>83.049999999999272</v>
      </c>
      <c r="E30" s="4" t="str">
        <f t="shared" si="1"/>
        <v>+</v>
      </c>
      <c r="F30" s="11"/>
    </row>
    <row r="31" spans="2:6" ht="19" x14ac:dyDescent="0.25">
      <c r="B31" s="1">
        <v>41159</v>
      </c>
      <c r="C31">
        <v>17683.73</v>
      </c>
      <c r="D31">
        <f t="shared" si="0"/>
        <v>337.45999999999913</v>
      </c>
      <c r="E31" s="4" t="str">
        <f t="shared" si="1"/>
        <v>+</v>
      </c>
      <c r="F31" s="11"/>
    </row>
    <row r="32" spans="2:6" ht="19" x14ac:dyDescent="0.25">
      <c r="B32" s="1">
        <v>41158</v>
      </c>
      <c r="C32">
        <v>17346.27</v>
      </c>
      <c r="D32">
        <f t="shared" si="0"/>
        <v>32.930000000000291</v>
      </c>
      <c r="E32" s="4" t="str">
        <f t="shared" si="1"/>
        <v>+</v>
      </c>
      <c r="F32" s="11"/>
    </row>
    <row r="33" spans="2:6" ht="19" x14ac:dyDescent="0.25">
      <c r="B33" s="1">
        <v>41157</v>
      </c>
      <c r="C33">
        <v>17313.34</v>
      </c>
      <c r="D33">
        <f t="shared" si="0"/>
        <v>-127.52999999999884</v>
      </c>
      <c r="E33" s="4" t="str">
        <f t="shared" si="1"/>
        <v>-</v>
      </c>
    </row>
    <row r="34" spans="2:6" ht="19" x14ac:dyDescent="0.25">
      <c r="B34" s="1">
        <v>41156</v>
      </c>
      <c r="C34">
        <v>17440.87</v>
      </c>
      <c r="D34">
        <f t="shared" si="0"/>
        <v>56.469999999997526</v>
      </c>
      <c r="E34" s="4" t="str">
        <f t="shared" si="1"/>
        <v>+</v>
      </c>
      <c r="F34" s="11" t="s">
        <v>4</v>
      </c>
    </row>
    <row r="35" spans="2:6" ht="19" x14ac:dyDescent="0.25">
      <c r="B35" s="1">
        <v>41155</v>
      </c>
      <c r="C35">
        <v>17384.400000000001</v>
      </c>
      <c r="D35">
        <f t="shared" si="0"/>
        <v>3.6500000000014552</v>
      </c>
      <c r="E35" s="4" t="str">
        <f t="shared" si="1"/>
        <v>+</v>
      </c>
      <c r="F35" s="11"/>
    </row>
    <row r="36" spans="2:6" ht="19" x14ac:dyDescent="0.25">
      <c r="B36" s="1">
        <v>41152</v>
      </c>
      <c r="C36">
        <v>17380.75</v>
      </c>
      <c r="D36">
        <f t="shared" si="0"/>
        <v>-160.88999999999942</v>
      </c>
      <c r="E36" s="4" t="str">
        <f t="shared" si="1"/>
        <v>-</v>
      </c>
    </row>
    <row r="37" spans="2:6" ht="19" x14ac:dyDescent="0.25">
      <c r="B37" s="1">
        <v>41151</v>
      </c>
      <c r="C37">
        <v>17541.64</v>
      </c>
      <c r="D37">
        <f t="shared" si="0"/>
        <v>50.829999999998108</v>
      </c>
      <c r="E37" s="4" t="str">
        <f t="shared" si="1"/>
        <v>+</v>
      </c>
    </row>
    <row r="38" spans="2:6" ht="19" x14ac:dyDescent="0.25">
      <c r="B38" s="1">
        <v>41150</v>
      </c>
      <c r="C38">
        <v>17490.810000000001</v>
      </c>
      <c r="D38">
        <f t="shared" si="0"/>
        <v>-140.89999999999782</v>
      </c>
      <c r="E38" s="4" t="str">
        <f t="shared" si="1"/>
        <v>-</v>
      </c>
      <c r="F38" s="11" t="s">
        <v>4</v>
      </c>
    </row>
    <row r="39" spans="2:6" ht="19" x14ac:dyDescent="0.25">
      <c r="B39" s="1">
        <v>41149</v>
      </c>
      <c r="C39">
        <v>17631.71</v>
      </c>
      <c r="D39">
        <f t="shared" si="0"/>
        <v>-47.100000000002183</v>
      </c>
      <c r="E39" s="4" t="str">
        <f t="shared" si="1"/>
        <v>-</v>
      </c>
      <c r="F39" s="11"/>
    </row>
    <row r="40" spans="2:6" ht="19" x14ac:dyDescent="0.25">
      <c r="B40" s="1">
        <v>41148</v>
      </c>
      <c r="C40">
        <v>17678.810000000001</v>
      </c>
      <c r="D40">
        <f t="shared" si="0"/>
        <v>-104.39999999999782</v>
      </c>
      <c r="E40" s="4" t="str">
        <f t="shared" si="1"/>
        <v>-</v>
      </c>
      <c r="F40" s="11"/>
    </row>
    <row r="41" spans="2:6" ht="19" x14ac:dyDescent="0.25">
      <c r="B41" s="1">
        <v>41145</v>
      </c>
      <c r="C41">
        <v>17783.21</v>
      </c>
      <c r="D41">
        <f t="shared" si="0"/>
        <v>-67.010000000002037</v>
      </c>
      <c r="E41" s="4" t="str">
        <f t="shared" si="1"/>
        <v>-</v>
      </c>
      <c r="F41" s="11"/>
    </row>
    <row r="42" spans="2:6" ht="19" x14ac:dyDescent="0.25">
      <c r="B42" s="1">
        <v>41144</v>
      </c>
      <c r="C42">
        <v>17850.22</v>
      </c>
      <c r="D42">
        <f t="shared" si="0"/>
        <v>3.3600000000005821</v>
      </c>
      <c r="E42" s="4" t="str">
        <f t="shared" si="1"/>
        <v>+</v>
      </c>
    </row>
    <row r="43" spans="2:6" ht="19" x14ac:dyDescent="0.25">
      <c r="B43" s="1">
        <v>41143</v>
      </c>
      <c r="C43">
        <v>17846.86</v>
      </c>
      <c r="D43">
        <f t="shared" si="0"/>
        <v>-38.399999999997817</v>
      </c>
      <c r="E43" s="4" t="str">
        <f t="shared" si="1"/>
        <v>-</v>
      </c>
    </row>
    <row r="44" spans="2:6" ht="19" x14ac:dyDescent="0.25">
      <c r="B44" s="1">
        <v>41142</v>
      </c>
      <c r="C44">
        <v>17885.259999999998</v>
      </c>
      <c r="D44">
        <f t="shared" si="0"/>
        <v>194.17999999999665</v>
      </c>
      <c r="E44" s="4" t="str">
        <f t="shared" si="1"/>
        <v>+</v>
      </c>
      <c r="F44" s="11" t="s">
        <v>4</v>
      </c>
    </row>
    <row r="45" spans="2:6" ht="19" x14ac:dyDescent="0.25">
      <c r="B45" s="1">
        <v>41138</v>
      </c>
      <c r="C45">
        <v>17691.080000000002</v>
      </c>
      <c r="D45">
        <f t="shared" si="0"/>
        <v>33.870000000002619</v>
      </c>
      <c r="E45" s="4" t="str">
        <f t="shared" si="1"/>
        <v>+</v>
      </c>
      <c r="F45" s="11"/>
    </row>
    <row r="46" spans="2:6" ht="19" x14ac:dyDescent="0.25">
      <c r="B46" s="1">
        <v>41137</v>
      </c>
      <c r="C46">
        <v>17657.21</v>
      </c>
      <c r="D46">
        <f t="shared" si="0"/>
        <v>-70.990000000001601</v>
      </c>
      <c r="E46" s="4" t="str">
        <f t="shared" si="1"/>
        <v>-</v>
      </c>
    </row>
    <row r="47" spans="2:6" ht="19" x14ac:dyDescent="0.25">
      <c r="B47" s="1">
        <v>41135</v>
      </c>
      <c r="C47">
        <v>17728.2</v>
      </c>
      <c r="D47">
        <f t="shared" si="0"/>
        <v>94.75</v>
      </c>
      <c r="E47" s="4" t="str">
        <f t="shared" si="1"/>
        <v>+</v>
      </c>
      <c r="F47" s="11" t="s">
        <v>4</v>
      </c>
    </row>
    <row r="48" spans="2:6" ht="19" x14ac:dyDescent="0.25">
      <c r="B48" s="1">
        <v>41134</v>
      </c>
      <c r="C48">
        <v>17633.45</v>
      </c>
      <c r="D48">
        <f t="shared" si="0"/>
        <v>75.709999999999127</v>
      </c>
      <c r="E48" s="4" t="str">
        <f t="shared" si="1"/>
        <v>+</v>
      </c>
      <c r="F48" s="11"/>
    </row>
    <row r="49" spans="2:6" ht="19" x14ac:dyDescent="0.25">
      <c r="B49" s="1">
        <v>41131</v>
      </c>
      <c r="C49">
        <v>17557.740000000002</v>
      </c>
      <c r="D49">
        <f t="shared" si="0"/>
        <v>-3.1299999999973807</v>
      </c>
      <c r="E49" s="4" t="str">
        <f t="shared" si="1"/>
        <v>-</v>
      </c>
      <c r="F49" s="11" t="s">
        <v>4</v>
      </c>
    </row>
    <row r="50" spans="2:6" ht="19" x14ac:dyDescent="0.25">
      <c r="B50" s="1">
        <v>41130</v>
      </c>
      <c r="C50">
        <v>17560.87</v>
      </c>
      <c r="D50">
        <f t="shared" si="0"/>
        <v>-39.690000000002328</v>
      </c>
      <c r="E50" s="4" t="str">
        <f t="shared" si="1"/>
        <v>-</v>
      </c>
      <c r="F50" s="11"/>
    </row>
    <row r="51" spans="2:6" ht="19" x14ac:dyDescent="0.25">
      <c r="B51" s="1">
        <v>41129</v>
      </c>
      <c r="C51">
        <v>17600.560000000001</v>
      </c>
      <c r="D51">
        <f t="shared" si="0"/>
        <v>-1.2199999999975262</v>
      </c>
      <c r="E51" s="4" t="str">
        <f t="shared" si="1"/>
        <v>-</v>
      </c>
      <c r="F51" s="11"/>
    </row>
    <row r="52" spans="2:6" ht="19" x14ac:dyDescent="0.25">
      <c r="B52" s="1">
        <v>41128</v>
      </c>
      <c r="C52">
        <v>17601.78</v>
      </c>
      <c r="D52">
        <f t="shared" si="0"/>
        <v>188.81999999999971</v>
      </c>
      <c r="E52" s="4" t="str">
        <f t="shared" si="1"/>
        <v>+</v>
      </c>
      <c r="F52" s="11" t="s">
        <v>4</v>
      </c>
    </row>
    <row r="53" spans="2:6" ht="19" x14ac:dyDescent="0.25">
      <c r="B53" s="1">
        <v>41127</v>
      </c>
      <c r="C53">
        <v>17412.96</v>
      </c>
      <c r="D53">
        <f t="shared" si="0"/>
        <v>215.02999999999884</v>
      </c>
      <c r="E53" s="4" t="str">
        <f t="shared" si="1"/>
        <v>+</v>
      </c>
      <c r="F53" s="11"/>
    </row>
    <row r="54" spans="2:6" ht="19" x14ac:dyDescent="0.25">
      <c r="B54" s="1">
        <v>41124</v>
      </c>
      <c r="C54">
        <v>17197.93</v>
      </c>
      <c r="D54">
        <f t="shared" si="0"/>
        <v>-26.430000000000291</v>
      </c>
      <c r="E54" s="4" t="str">
        <f t="shared" si="1"/>
        <v>-</v>
      </c>
      <c r="F54" s="11" t="s">
        <v>4</v>
      </c>
    </row>
    <row r="55" spans="2:6" ht="19" x14ac:dyDescent="0.25">
      <c r="B55" s="1">
        <v>41123</v>
      </c>
      <c r="C55">
        <v>17224.36</v>
      </c>
      <c r="D55">
        <f t="shared" si="0"/>
        <v>-33.020000000000437</v>
      </c>
      <c r="E55" s="4" t="str">
        <f t="shared" si="1"/>
        <v>-</v>
      </c>
      <c r="F55" s="11"/>
    </row>
    <row r="56" spans="2:6" ht="19" x14ac:dyDescent="0.25">
      <c r="B56" s="1">
        <v>41122</v>
      </c>
      <c r="C56">
        <v>17257.38</v>
      </c>
      <c r="D56">
        <f t="shared" si="0"/>
        <v>21.200000000000728</v>
      </c>
      <c r="E56" s="4" t="str">
        <f t="shared" si="1"/>
        <v>+</v>
      </c>
      <c r="F56" s="11" t="s">
        <v>4</v>
      </c>
    </row>
    <row r="57" spans="2:6" ht="19" x14ac:dyDescent="0.25">
      <c r="B57" s="1">
        <v>41121</v>
      </c>
      <c r="C57">
        <v>17236.18</v>
      </c>
      <c r="D57">
        <f t="shared" si="0"/>
        <v>92.5</v>
      </c>
      <c r="E57" s="4" t="str">
        <f t="shared" si="1"/>
        <v>+</v>
      </c>
      <c r="F57" s="11"/>
    </row>
    <row r="58" spans="2:6" ht="19" x14ac:dyDescent="0.25">
      <c r="B58" s="1">
        <v>41120</v>
      </c>
      <c r="C58">
        <v>17143.68</v>
      </c>
      <c r="D58">
        <f t="shared" si="0"/>
        <v>304.4900000000016</v>
      </c>
      <c r="E58" s="4" t="str">
        <f t="shared" si="1"/>
        <v>+</v>
      </c>
      <c r="F58" s="11"/>
    </row>
    <row r="59" spans="2:6" ht="19" x14ac:dyDescent="0.25">
      <c r="B59" s="1">
        <v>41117</v>
      </c>
      <c r="C59">
        <v>16839.189999999999</v>
      </c>
      <c r="D59">
        <f t="shared" si="0"/>
        <v>199.36999999999898</v>
      </c>
      <c r="E59" s="4" t="str">
        <f t="shared" si="1"/>
        <v>+</v>
      </c>
      <c r="F59" s="11"/>
    </row>
    <row r="60" spans="2:6" ht="19" x14ac:dyDescent="0.25">
      <c r="B60" s="1">
        <v>41116</v>
      </c>
      <c r="C60">
        <v>16639.82</v>
      </c>
      <c r="D60">
        <f t="shared" si="0"/>
        <v>-206.22999999999956</v>
      </c>
      <c r="E60" s="4" t="str">
        <f t="shared" si="1"/>
        <v>-</v>
      </c>
      <c r="F60" s="11" t="s">
        <v>4</v>
      </c>
    </row>
    <row r="61" spans="2:6" ht="19" x14ac:dyDescent="0.25">
      <c r="B61" s="1">
        <v>41115</v>
      </c>
      <c r="C61">
        <v>16846.05</v>
      </c>
      <c r="D61">
        <f t="shared" si="0"/>
        <v>-72.030000000002474</v>
      </c>
      <c r="E61" s="4" t="str">
        <f t="shared" si="1"/>
        <v>-</v>
      </c>
      <c r="F61" s="11"/>
    </row>
    <row r="62" spans="2:6" ht="19" x14ac:dyDescent="0.25">
      <c r="B62" s="1">
        <v>41114</v>
      </c>
      <c r="C62">
        <v>16918.080000000002</v>
      </c>
      <c r="D62">
        <f t="shared" si="0"/>
        <v>40.730000000003201</v>
      </c>
      <c r="E62" s="4" t="str">
        <f t="shared" si="1"/>
        <v>+</v>
      </c>
    </row>
    <row r="63" spans="2:6" ht="19" x14ac:dyDescent="0.25">
      <c r="B63" s="1">
        <v>41113</v>
      </c>
      <c r="C63">
        <v>16877.349999999999</v>
      </c>
      <c r="D63">
        <f t="shared" si="0"/>
        <v>-281.09000000000015</v>
      </c>
      <c r="E63" s="4" t="str">
        <f t="shared" si="1"/>
        <v>-</v>
      </c>
      <c r="F63" s="11" t="s">
        <v>4</v>
      </c>
    </row>
    <row r="64" spans="2:6" ht="19" x14ac:dyDescent="0.25">
      <c r="B64" s="1">
        <v>41110</v>
      </c>
      <c r="C64">
        <v>17158.439999999999</v>
      </c>
      <c r="D64">
        <f t="shared" si="0"/>
        <v>-120.40999999999985</v>
      </c>
      <c r="E64" s="4" t="str">
        <f t="shared" si="1"/>
        <v>-</v>
      </c>
      <c r="F64" s="11"/>
    </row>
    <row r="65" spans="2:6" ht="19" x14ac:dyDescent="0.25">
      <c r="B65" s="1">
        <v>41109</v>
      </c>
      <c r="C65">
        <v>17278.849999999999</v>
      </c>
      <c r="D65">
        <f t="shared" si="0"/>
        <v>93.840000000000146</v>
      </c>
      <c r="E65" s="4" t="str">
        <f t="shared" si="1"/>
        <v>+</v>
      </c>
      <c r="F65" s="11" t="s">
        <v>4</v>
      </c>
    </row>
    <row r="66" spans="2:6" ht="19" x14ac:dyDescent="0.25">
      <c r="B66" s="1">
        <v>41108</v>
      </c>
      <c r="C66">
        <v>17185.009999999998</v>
      </c>
      <c r="D66">
        <f t="shared" si="0"/>
        <v>79.709999999999127</v>
      </c>
      <c r="E66" s="4" t="str">
        <f t="shared" si="1"/>
        <v>+</v>
      </c>
      <c r="F66" s="11"/>
    </row>
    <row r="67" spans="2:6" ht="19" x14ac:dyDescent="0.25">
      <c r="B67" s="1">
        <v>41107</v>
      </c>
      <c r="C67">
        <v>17105.3</v>
      </c>
      <c r="D67">
        <f t="shared" si="0"/>
        <v>1.9899999999979627</v>
      </c>
      <c r="E67" s="4" t="str">
        <f t="shared" si="1"/>
        <v>+</v>
      </c>
      <c r="F67" s="11"/>
    </row>
    <row r="68" spans="2:6" ht="19" x14ac:dyDescent="0.25">
      <c r="B68" s="1">
        <v>41106</v>
      </c>
      <c r="C68">
        <v>17103.310000000001</v>
      </c>
      <c r="D68">
        <f t="shared" ref="D68:D78" si="2">C68-C69</f>
        <v>-110.38999999999942</v>
      </c>
      <c r="E68" s="4" t="str">
        <f t="shared" ref="E68:E78" si="3">IF(D68&gt;0,"+", "-")</f>
        <v>-</v>
      </c>
      <c r="F68" s="11" t="s">
        <v>4</v>
      </c>
    </row>
    <row r="69" spans="2:6" ht="19" x14ac:dyDescent="0.25">
      <c r="B69" s="1">
        <v>41103</v>
      </c>
      <c r="C69">
        <v>17213.7</v>
      </c>
      <c r="D69">
        <f t="shared" si="2"/>
        <v>-18.849999999998545</v>
      </c>
      <c r="E69" s="4" t="str">
        <f t="shared" si="3"/>
        <v>-</v>
      </c>
      <c r="F69" s="11"/>
    </row>
    <row r="70" spans="2:6" ht="19" x14ac:dyDescent="0.25">
      <c r="B70" s="1">
        <v>41102</v>
      </c>
      <c r="C70">
        <v>17232.55</v>
      </c>
      <c r="D70">
        <f t="shared" si="2"/>
        <v>-256.59000000000015</v>
      </c>
      <c r="E70" s="4" t="str">
        <f t="shared" si="3"/>
        <v>-</v>
      </c>
      <c r="F70" s="11"/>
    </row>
    <row r="71" spans="2:6" ht="19" x14ac:dyDescent="0.25">
      <c r="B71" s="1">
        <v>41101</v>
      </c>
      <c r="C71">
        <v>17489.14</v>
      </c>
      <c r="D71">
        <f t="shared" si="2"/>
        <v>-129.20999999999913</v>
      </c>
      <c r="E71" s="4" t="str">
        <f t="shared" si="3"/>
        <v>-</v>
      </c>
      <c r="F71" s="11"/>
    </row>
    <row r="72" spans="2:6" ht="19" x14ac:dyDescent="0.25">
      <c r="B72" s="1">
        <v>41100</v>
      </c>
      <c r="C72">
        <v>17618.349999999999</v>
      </c>
      <c r="D72">
        <f t="shared" si="2"/>
        <v>226.36999999999898</v>
      </c>
      <c r="E72" s="4" t="str">
        <f t="shared" si="3"/>
        <v>+</v>
      </c>
    </row>
    <row r="73" spans="2:6" ht="19" x14ac:dyDescent="0.25">
      <c r="B73" s="1">
        <v>41099</v>
      </c>
      <c r="C73">
        <v>17391.98</v>
      </c>
      <c r="D73">
        <f t="shared" si="2"/>
        <v>-129.13999999999942</v>
      </c>
      <c r="E73" s="4" t="str">
        <f t="shared" si="3"/>
        <v>-</v>
      </c>
      <c r="F73" s="11" t="s">
        <v>4</v>
      </c>
    </row>
    <row r="74" spans="2:6" ht="19" x14ac:dyDescent="0.25">
      <c r="B74" s="1">
        <v>41096</v>
      </c>
      <c r="C74">
        <v>17521.12</v>
      </c>
      <c r="D74">
        <f t="shared" si="2"/>
        <v>-17.549999999999272</v>
      </c>
      <c r="E74" s="4" t="str">
        <f t="shared" si="3"/>
        <v>-</v>
      </c>
      <c r="F74" s="11"/>
    </row>
    <row r="75" spans="2:6" ht="19" x14ac:dyDescent="0.25">
      <c r="B75" s="1">
        <v>41095</v>
      </c>
      <c r="C75">
        <v>17538.669999999998</v>
      </c>
      <c r="D75">
        <f t="shared" si="2"/>
        <v>75.859999999996944</v>
      </c>
      <c r="E75" s="4" t="str">
        <f t="shared" si="3"/>
        <v>+</v>
      </c>
      <c r="F75" s="11" t="s">
        <v>4</v>
      </c>
    </row>
    <row r="76" spans="2:6" ht="19" x14ac:dyDescent="0.25">
      <c r="B76" s="1">
        <v>41094</v>
      </c>
      <c r="C76">
        <v>17462.810000000001</v>
      </c>
      <c r="D76">
        <f t="shared" si="2"/>
        <v>37.100000000002183</v>
      </c>
      <c r="E76" s="4" t="str">
        <f t="shared" si="3"/>
        <v>+</v>
      </c>
      <c r="F76" s="11"/>
    </row>
    <row r="77" spans="2:6" ht="19" x14ac:dyDescent="0.25">
      <c r="B77" s="1">
        <v>41093</v>
      </c>
      <c r="C77">
        <v>17425.71</v>
      </c>
      <c r="D77">
        <f t="shared" si="2"/>
        <v>26.729999999999563</v>
      </c>
      <c r="E77" s="4" t="str">
        <f t="shared" si="3"/>
        <v>+</v>
      </c>
      <c r="F77" s="11"/>
    </row>
    <row r="78" spans="2:6" ht="19" x14ac:dyDescent="0.25">
      <c r="B78" s="1">
        <v>41092</v>
      </c>
      <c r="C78">
        <v>17398.98</v>
      </c>
      <c r="D78">
        <f t="shared" si="2"/>
        <v>17398.98</v>
      </c>
      <c r="E78" s="4" t="str">
        <f t="shared" si="3"/>
        <v>+</v>
      </c>
      <c r="F78" s="11"/>
    </row>
  </sheetData>
  <mergeCells count="19">
    <mergeCell ref="F52:F53"/>
    <mergeCell ref="F54:F55"/>
    <mergeCell ref="F56:F59"/>
    <mergeCell ref="F75:F78"/>
    <mergeCell ref="F73:F74"/>
    <mergeCell ref="F68:F71"/>
    <mergeCell ref="F65:F67"/>
    <mergeCell ref="F63:F64"/>
    <mergeCell ref="F60:F61"/>
    <mergeCell ref="F34:F35"/>
    <mergeCell ref="F38:F41"/>
    <mergeCell ref="F44:F45"/>
    <mergeCell ref="F47:F48"/>
    <mergeCell ref="F49:F51"/>
    <mergeCell ref="F4:F5"/>
    <mergeCell ref="F14:F17"/>
    <mergeCell ref="F18:F19"/>
    <mergeCell ref="F23:F24"/>
    <mergeCell ref="F25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72"/>
  <sheetViews>
    <sheetView tabSelected="1" workbookViewId="0">
      <selection activeCell="L16" sqref="L16"/>
    </sheetView>
  </sheetViews>
  <sheetFormatPr baseColWidth="10" defaultColWidth="8.83203125" defaultRowHeight="15" x14ac:dyDescent="0.2"/>
  <cols>
    <col min="2" max="2" width="10.6640625" bestFit="1" customWidth="1"/>
    <col min="3" max="3" width="9.33203125" bestFit="1" customWidth="1"/>
    <col min="12" max="14" width="11.33203125" customWidth="1"/>
    <col min="15" max="15" width="11" customWidth="1"/>
    <col min="16" max="16" width="11.33203125" customWidth="1"/>
    <col min="17" max="17" width="10.5" customWidth="1"/>
  </cols>
  <sheetData>
    <row r="2" spans="2:17" x14ac:dyDescent="0.2">
      <c r="B2" s="7" t="s">
        <v>0</v>
      </c>
      <c r="C2" s="7" t="s">
        <v>11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</row>
    <row r="3" spans="2:17" x14ac:dyDescent="0.2">
      <c r="B3" s="9">
        <v>41201</v>
      </c>
      <c r="C3" s="10">
        <v>18682.310000000001</v>
      </c>
      <c r="D3" s="10">
        <v>18791.93</v>
      </c>
      <c r="E3" s="10">
        <v>18610.77</v>
      </c>
      <c r="F3" s="10">
        <v>18577.7</v>
      </c>
      <c r="G3" s="10">
        <v>18713.55</v>
      </c>
      <c r="H3" s="10">
        <v>18675.18</v>
      </c>
      <c r="K3" s="6"/>
      <c r="L3" s="6" t="s">
        <v>11</v>
      </c>
      <c r="M3" s="6" t="s">
        <v>6</v>
      </c>
      <c r="N3" s="6" t="s">
        <v>7</v>
      </c>
      <c r="O3" s="6" t="s">
        <v>8</v>
      </c>
      <c r="P3" s="6" t="s">
        <v>9</v>
      </c>
      <c r="Q3" s="6" t="s">
        <v>10</v>
      </c>
    </row>
    <row r="4" spans="2:17" x14ac:dyDescent="0.2">
      <c r="B4" s="9">
        <v>41200</v>
      </c>
      <c r="C4" s="10">
        <v>18791.93</v>
      </c>
      <c r="D4" s="10">
        <v>18610.77</v>
      </c>
      <c r="E4" s="10">
        <v>18577.7</v>
      </c>
      <c r="F4" s="10">
        <v>18713.55</v>
      </c>
      <c r="G4" s="10">
        <v>18675.18</v>
      </c>
      <c r="H4" s="10">
        <v>18804.75</v>
      </c>
      <c r="K4" s="7" t="s">
        <v>11</v>
      </c>
      <c r="L4" s="8">
        <v>1</v>
      </c>
      <c r="M4" s="8"/>
      <c r="N4" s="8"/>
      <c r="O4" s="8"/>
      <c r="P4" s="8"/>
      <c r="Q4" s="8"/>
    </row>
    <row r="5" spans="2:17" x14ac:dyDescent="0.2">
      <c r="B5" s="9">
        <v>41199</v>
      </c>
      <c r="C5" s="10">
        <v>18610.77</v>
      </c>
      <c r="D5" s="10">
        <v>18577.7</v>
      </c>
      <c r="E5" s="10">
        <v>18713.55</v>
      </c>
      <c r="F5" s="10">
        <v>18675.18</v>
      </c>
      <c r="G5" s="10">
        <v>18804.75</v>
      </c>
      <c r="H5" s="10">
        <v>18631.099999999999</v>
      </c>
      <c r="K5" s="7" t="s">
        <v>6</v>
      </c>
      <c r="L5" s="8">
        <v>0.97526723396666815</v>
      </c>
      <c r="M5" s="8">
        <v>1</v>
      </c>
      <c r="N5" s="8"/>
      <c r="O5" s="8"/>
      <c r="P5" s="8"/>
      <c r="Q5" s="8"/>
    </row>
    <row r="6" spans="2:17" x14ac:dyDescent="0.2">
      <c r="B6" s="9">
        <v>41198</v>
      </c>
      <c r="C6" s="10">
        <v>18577.7</v>
      </c>
      <c r="D6" s="10">
        <v>18713.55</v>
      </c>
      <c r="E6" s="10">
        <v>18675.18</v>
      </c>
      <c r="F6" s="10">
        <v>18804.75</v>
      </c>
      <c r="G6" s="10">
        <v>18631.099999999999</v>
      </c>
      <c r="H6" s="10">
        <v>18793.36</v>
      </c>
      <c r="K6" s="7" t="s">
        <v>7</v>
      </c>
      <c r="L6" s="8">
        <v>0.95042880454429379</v>
      </c>
      <c r="M6" s="8">
        <v>0.9747023232865849</v>
      </c>
      <c r="N6" s="8">
        <v>1</v>
      </c>
      <c r="O6" s="8"/>
      <c r="P6" s="8"/>
      <c r="Q6" s="8"/>
    </row>
    <row r="7" spans="2:17" x14ac:dyDescent="0.2">
      <c r="B7" s="9">
        <v>41197</v>
      </c>
      <c r="C7" s="10">
        <v>18713.55</v>
      </c>
      <c r="D7" s="10">
        <v>18675.18</v>
      </c>
      <c r="E7" s="10">
        <v>18804.75</v>
      </c>
      <c r="F7" s="10">
        <v>18631.099999999999</v>
      </c>
      <c r="G7" s="10">
        <v>18793.36</v>
      </c>
      <c r="H7" s="10">
        <v>18708.98</v>
      </c>
      <c r="K7" s="7" t="s">
        <v>8</v>
      </c>
      <c r="L7" s="8">
        <v>0.92737502206429601</v>
      </c>
      <c r="M7" s="8">
        <v>0.94906054534400652</v>
      </c>
      <c r="N7" s="8">
        <v>0.9745051911650412</v>
      </c>
      <c r="O7" s="8">
        <v>1</v>
      </c>
      <c r="P7" s="8"/>
      <c r="Q7" s="8"/>
    </row>
    <row r="8" spans="2:17" x14ac:dyDescent="0.2">
      <c r="B8" s="9">
        <v>41194</v>
      </c>
      <c r="C8" s="10">
        <v>18675.18</v>
      </c>
      <c r="D8" s="10">
        <v>18804.75</v>
      </c>
      <c r="E8" s="10">
        <v>18631.099999999999</v>
      </c>
      <c r="F8" s="10">
        <v>18793.36</v>
      </c>
      <c r="G8" s="10">
        <v>18708.98</v>
      </c>
      <c r="H8" s="10">
        <v>18938.46</v>
      </c>
      <c r="K8" s="7" t="s">
        <v>9</v>
      </c>
      <c r="L8" s="8">
        <v>0.90042156750067748</v>
      </c>
      <c r="M8" s="8">
        <v>0.92599664658382463</v>
      </c>
      <c r="N8" s="8">
        <v>0.94836877832180555</v>
      </c>
      <c r="O8" s="8">
        <v>0.97397629784132722</v>
      </c>
      <c r="P8" s="8">
        <v>1</v>
      </c>
      <c r="Q8" s="8"/>
    </row>
    <row r="9" spans="2:17" x14ac:dyDescent="0.2">
      <c r="B9" s="9">
        <v>41193</v>
      </c>
      <c r="C9" s="10">
        <v>18804.75</v>
      </c>
      <c r="D9" s="10">
        <v>18631.099999999999</v>
      </c>
      <c r="E9" s="10">
        <v>18793.36</v>
      </c>
      <c r="F9" s="10">
        <v>18708.98</v>
      </c>
      <c r="G9" s="10">
        <v>18938.46</v>
      </c>
      <c r="H9" s="10">
        <v>19058.150000000001</v>
      </c>
      <c r="K9" s="7" t="s">
        <v>10</v>
      </c>
      <c r="L9" s="8">
        <v>0.87128972546175742</v>
      </c>
      <c r="M9" s="8">
        <v>0.89852265126333963</v>
      </c>
      <c r="N9" s="8">
        <v>0.92392860294772905</v>
      </c>
      <c r="O9" s="8">
        <v>0.94747428020757263</v>
      </c>
      <c r="P9" s="8">
        <v>0.97387304214388071</v>
      </c>
      <c r="Q9" s="8">
        <v>1</v>
      </c>
    </row>
    <row r="10" spans="2:17" x14ac:dyDescent="0.2">
      <c r="B10" s="9">
        <v>41192</v>
      </c>
      <c r="C10" s="10">
        <v>18631.099999999999</v>
      </c>
      <c r="D10" s="10">
        <v>18793.36</v>
      </c>
      <c r="E10" s="10">
        <v>18708.98</v>
      </c>
      <c r="F10" s="10">
        <v>18938.46</v>
      </c>
      <c r="G10" s="10">
        <v>19058.150000000001</v>
      </c>
      <c r="H10" s="10">
        <v>18869.689999999999</v>
      </c>
    </row>
    <row r="11" spans="2:17" x14ac:dyDescent="0.2">
      <c r="B11" s="9">
        <v>41191</v>
      </c>
      <c r="C11" s="10">
        <v>18793.36</v>
      </c>
      <c r="D11" s="10">
        <v>18708.98</v>
      </c>
      <c r="E11" s="10">
        <v>18938.46</v>
      </c>
      <c r="F11" s="10">
        <v>19058.150000000001</v>
      </c>
      <c r="G11" s="10">
        <v>18869.689999999999</v>
      </c>
      <c r="H11" s="10">
        <v>18823.91</v>
      </c>
    </row>
    <row r="12" spans="2:17" x14ac:dyDescent="0.2">
      <c r="B12" s="9">
        <v>41190</v>
      </c>
      <c r="C12" s="10">
        <v>18708.98</v>
      </c>
      <c r="D12" s="10">
        <v>18938.46</v>
      </c>
      <c r="E12" s="10">
        <v>19058.150000000001</v>
      </c>
      <c r="F12" s="10">
        <v>18869.689999999999</v>
      </c>
      <c r="G12" s="10">
        <v>18823.91</v>
      </c>
      <c r="H12" s="10">
        <v>18762.740000000002</v>
      </c>
    </row>
    <row r="13" spans="2:17" x14ac:dyDescent="0.2">
      <c r="B13" s="9">
        <v>41187</v>
      </c>
      <c r="C13" s="10">
        <v>18938.46</v>
      </c>
      <c r="D13" s="10">
        <v>19058.150000000001</v>
      </c>
      <c r="E13" s="10">
        <v>18869.689999999999</v>
      </c>
      <c r="F13" s="10">
        <v>18823.91</v>
      </c>
      <c r="G13" s="10">
        <v>18762.740000000002</v>
      </c>
      <c r="H13" s="10">
        <v>18579.5</v>
      </c>
    </row>
    <row r="14" spans="2:17" x14ac:dyDescent="0.2">
      <c r="B14" s="9">
        <v>41186</v>
      </c>
      <c r="C14" s="10">
        <v>19058.150000000001</v>
      </c>
      <c r="D14" s="10">
        <v>18869.689999999999</v>
      </c>
      <c r="E14" s="10">
        <v>18823.91</v>
      </c>
      <c r="F14" s="10">
        <v>18762.740000000002</v>
      </c>
      <c r="G14" s="10">
        <v>18579.5</v>
      </c>
      <c r="H14" s="10">
        <v>18632.169999999998</v>
      </c>
    </row>
    <row r="15" spans="2:17" x14ac:dyDescent="0.2">
      <c r="B15" s="9">
        <v>41185</v>
      </c>
      <c r="C15" s="10">
        <v>18869.689999999999</v>
      </c>
      <c r="D15" s="10">
        <v>18823.91</v>
      </c>
      <c r="E15" s="10">
        <v>18762.740000000002</v>
      </c>
      <c r="F15" s="10">
        <v>18579.5</v>
      </c>
      <c r="G15" s="10">
        <v>18632.169999999998</v>
      </c>
      <c r="H15" s="10">
        <v>18694.41</v>
      </c>
    </row>
    <row r="16" spans="2:17" x14ac:dyDescent="0.2">
      <c r="B16" s="9">
        <v>41183</v>
      </c>
      <c r="C16" s="10">
        <v>18823.91</v>
      </c>
      <c r="D16" s="10">
        <v>18762.740000000002</v>
      </c>
      <c r="E16" s="10">
        <v>18579.5</v>
      </c>
      <c r="F16" s="10">
        <v>18632.169999999998</v>
      </c>
      <c r="G16" s="10">
        <v>18694.41</v>
      </c>
      <c r="H16" s="10">
        <v>18673.34</v>
      </c>
    </row>
    <row r="17" spans="2:8" x14ac:dyDescent="0.2">
      <c r="B17" s="9">
        <v>41180</v>
      </c>
      <c r="C17" s="10">
        <v>18762.740000000002</v>
      </c>
      <c r="D17" s="10">
        <v>18579.5</v>
      </c>
      <c r="E17" s="10">
        <v>18632.169999999998</v>
      </c>
      <c r="F17" s="10">
        <v>18694.41</v>
      </c>
      <c r="G17" s="10">
        <v>18673.34</v>
      </c>
      <c r="H17" s="10">
        <v>18752.830000000002</v>
      </c>
    </row>
    <row r="18" spans="2:8" x14ac:dyDescent="0.2">
      <c r="B18" s="9">
        <v>41179</v>
      </c>
      <c r="C18" s="10">
        <v>18579.5</v>
      </c>
      <c r="D18" s="10">
        <v>18632.169999999998</v>
      </c>
      <c r="E18" s="10">
        <v>18694.41</v>
      </c>
      <c r="F18" s="10">
        <v>18673.34</v>
      </c>
      <c r="G18" s="10">
        <v>18752.830000000002</v>
      </c>
      <c r="H18" s="10">
        <v>18349.25</v>
      </c>
    </row>
    <row r="19" spans="2:8" x14ac:dyDescent="0.2">
      <c r="B19" s="9">
        <v>41178</v>
      </c>
      <c r="C19" s="10">
        <v>18632.169999999998</v>
      </c>
      <c r="D19" s="10">
        <v>18694.41</v>
      </c>
      <c r="E19" s="10">
        <v>18673.34</v>
      </c>
      <c r="F19" s="10">
        <v>18752.830000000002</v>
      </c>
      <c r="G19" s="10">
        <v>18349.25</v>
      </c>
      <c r="H19" s="10">
        <v>18496.009999999998</v>
      </c>
    </row>
    <row r="20" spans="2:8" x14ac:dyDescent="0.2">
      <c r="B20" s="9">
        <v>41177</v>
      </c>
      <c r="C20" s="10">
        <v>18694.41</v>
      </c>
      <c r="D20" s="10">
        <v>18673.34</v>
      </c>
      <c r="E20" s="10">
        <v>18752.830000000002</v>
      </c>
      <c r="F20" s="10">
        <v>18349.25</v>
      </c>
      <c r="G20" s="10">
        <v>18496.009999999998</v>
      </c>
      <c r="H20" s="10">
        <v>18542.310000000001</v>
      </c>
    </row>
    <row r="21" spans="2:8" x14ac:dyDescent="0.2">
      <c r="B21" s="9">
        <v>41176</v>
      </c>
      <c r="C21" s="10">
        <v>18673.34</v>
      </c>
      <c r="D21" s="10">
        <v>18752.830000000002</v>
      </c>
      <c r="E21" s="10">
        <v>18349.25</v>
      </c>
      <c r="F21" s="10">
        <v>18496.009999999998</v>
      </c>
      <c r="G21" s="10">
        <v>18542.310000000001</v>
      </c>
      <c r="H21" s="10">
        <v>18464.27</v>
      </c>
    </row>
    <row r="22" spans="2:8" x14ac:dyDescent="0.2">
      <c r="B22" s="9">
        <v>41173</v>
      </c>
      <c r="C22" s="10">
        <v>18752.830000000002</v>
      </c>
      <c r="D22" s="10">
        <v>18349.25</v>
      </c>
      <c r="E22" s="10">
        <v>18496.009999999998</v>
      </c>
      <c r="F22" s="10">
        <v>18542.310000000001</v>
      </c>
      <c r="G22" s="10">
        <v>18464.27</v>
      </c>
      <c r="H22" s="10">
        <v>18021.16</v>
      </c>
    </row>
    <row r="23" spans="2:8" x14ac:dyDescent="0.2">
      <c r="B23" s="9">
        <v>41172</v>
      </c>
      <c r="C23" s="10">
        <v>18349.25</v>
      </c>
      <c r="D23" s="10">
        <v>18496.009999999998</v>
      </c>
      <c r="E23" s="10">
        <v>18542.310000000001</v>
      </c>
      <c r="F23" s="10">
        <v>18464.27</v>
      </c>
      <c r="G23" s="10">
        <v>18021.16</v>
      </c>
      <c r="H23" s="10">
        <v>18000.03</v>
      </c>
    </row>
    <row r="24" spans="2:8" x14ac:dyDescent="0.2">
      <c r="B24" s="9">
        <v>41170</v>
      </c>
      <c r="C24" s="10">
        <v>18496.009999999998</v>
      </c>
      <c r="D24" s="10">
        <v>18542.310000000001</v>
      </c>
      <c r="E24" s="10">
        <v>18464.27</v>
      </c>
      <c r="F24" s="10">
        <v>18021.16</v>
      </c>
      <c r="G24" s="10">
        <v>18000.03</v>
      </c>
      <c r="H24" s="10">
        <v>17852.95</v>
      </c>
    </row>
    <row r="25" spans="2:8" x14ac:dyDescent="0.2">
      <c r="B25" s="9">
        <v>41169</v>
      </c>
      <c r="C25" s="10">
        <v>18542.310000000001</v>
      </c>
      <c r="D25" s="10">
        <v>18464.27</v>
      </c>
      <c r="E25" s="10">
        <v>18021.16</v>
      </c>
      <c r="F25" s="10">
        <v>18000.03</v>
      </c>
      <c r="G25" s="10">
        <v>17852.95</v>
      </c>
      <c r="H25" s="10">
        <v>17766.78</v>
      </c>
    </row>
    <row r="26" spans="2:8" x14ac:dyDescent="0.2">
      <c r="B26" s="9">
        <v>41166</v>
      </c>
      <c r="C26" s="10">
        <v>18464.27</v>
      </c>
      <c r="D26" s="10">
        <v>18021.16</v>
      </c>
      <c r="E26" s="10">
        <v>18000.03</v>
      </c>
      <c r="F26" s="10">
        <v>17852.95</v>
      </c>
      <c r="G26" s="10">
        <v>17766.78</v>
      </c>
      <c r="H26" s="10">
        <v>17683.73</v>
      </c>
    </row>
    <row r="27" spans="2:8" x14ac:dyDescent="0.2">
      <c r="B27" s="9">
        <v>41165</v>
      </c>
      <c r="C27" s="10">
        <v>18021.16</v>
      </c>
      <c r="D27" s="10">
        <v>18000.03</v>
      </c>
      <c r="E27" s="10">
        <v>17852.95</v>
      </c>
      <c r="F27" s="10">
        <v>17766.78</v>
      </c>
      <c r="G27" s="10">
        <v>17683.73</v>
      </c>
      <c r="H27" s="10">
        <v>17346.27</v>
      </c>
    </row>
    <row r="28" spans="2:8" x14ac:dyDescent="0.2">
      <c r="B28" s="9">
        <v>41164</v>
      </c>
      <c r="C28" s="10">
        <v>18000.03</v>
      </c>
      <c r="D28" s="10">
        <v>17852.95</v>
      </c>
      <c r="E28" s="10">
        <v>17766.78</v>
      </c>
      <c r="F28" s="10">
        <v>17683.73</v>
      </c>
      <c r="G28" s="10">
        <v>17346.27</v>
      </c>
      <c r="H28" s="10">
        <v>17313.34</v>
      </c>
    </row>
    <row r="29" spans="2:8" x14ac:dyDescent="0.2">
      <c r="B29" s="9">
        <v>41163</v>
      </c>
      <c r="C29" s="10">
        <v>17852.95</v>
      </c>
      <c r="D29" s="10">
        <v>17766.78</v>
      </c>
      <c r="E29" s="10">
        <v>17683.73</v>
      </c>
      <c r="F29" s="10">
        <v>17346.27</v>
      </c>
      <c r="G29" s="10">
        <v>17313.34</v>
      </c>
      <c r="H29" s="10">
        <v>17440.87</v>
      </c>
    </row>
    <row r="30" spans="2:8" x14ac:dyDescent="0.2">
      <c r="B30" s="9">
        <v>41162</v>
      </c>
      <c r="C30" s="10">
        <v>17766.78</v>
      </c>
      <c r="D30" s="10">
        <v>17683.73</v>
      </c>
      <c r="E30" s="10">
        <v>17346.27</v>
      </c>
      <c r="F30" s="10">
        <v>17313.34</v>
      </c>
      <c r="G30" s="10">
        <v>17440.87</v>
      </c>
      <c r="H30" s="10">
        <v>17384.400000000001</v>
      </c>
    </row>
    <row r="31" spans="2:8" x14ac:dyDescent="0.2">
      <c r="B31" s="9">
        <v>41159</v>
      </c>
      <c r="C31" s="10">
        <v>17683.73</v>
      </c>
      <c r="D31" s="10">
        <v>17346.27</v>
      </c>
      <c r="E31" s="10">
        <v>17313.34</v>
      </c>
      <c r="F31" s="10">
        <v>17440.87</v>
      </c>
      <c r="G31" s="10">
        <v>17384.400000000001</v>
      </c>
      <c r="H31" s="10">
        <v>17380.75</v>
      </c>
    </row>
    <row r="32" spans="2:8" x14ac:dyDescent="0.2">
      <c r="B32" s="9">
        <v>41158</v>
      </c>
      <c r="C32" s="10">
        <v>17346.27</v>
      </c>
      <c r="D32" s="10">
        <v>17313.34</v>
      </c>
      <c r="E32" s="10">
        <v>17440.87</v>
      </c>
      <c r="F32" s="10">
        <v>17384.400000000001</v>
      </c>
      <c r="G32" s="10">
        <v>17380.75</v>
      </c>
      <c r="H32" s="10">
        <v>17541.64</v>
      </c>
    </row>
    <row r="33" spans="2:8" x14ac:dyDescent="0.2">
      <c r="B33" s="9">
        <v>41157</v>
      </c>
      <c r="C33" s="10">
        <v>17313.34</v>
      </c>
      <c r="D33" s="10">
        <v>17440.87</v>
      </c>
      <c r="E33" s="10">
        <v>17384.400000000001</v>
      </c>
      <c r="F33" s="10">
        <v>17380.75</v>
      </c>
      <c r="G33" s="10">
        <v>17541.64</v>
      </c>
      <c r="H33" s="10">
        <v>17490.810000000001</v>
      </c>
    </row>
    <row r="34" spans="2:8" x14ac:dyDescent="0.2">
      <c r="B34" s="9">
        <v>41156</v>
      </c>
      <c r="C34" s="10">
        <v>17440.87</v>
      </c>
      <c r="D34" s="10">
        <v>17384.400000000001</v>
      </c>
      <c r="E34" s="10">
        <v>17380.75</v>
      </c>
      <c r="F34" s="10">
        <v>17541.64</v>
      </c>
      <c r="G34" s="10">
        <v>17490.810000000001</v>
      </c>
      <c r="H34" s="10">
        <v>17631.71</v>
      </c>
    </row>
    <row r="35" spans="2:8" x14ac:dyDescent="0.2">
      <c r="B35" s="9">
        <v>41155</v>
      </c>
      <c r="C35" s="10">
        <v>17384.400000000001</v>
      </c>
      <c r="D35" s="10">
        <v>17380.75</v>
      </c>
      <c r="E35" s="10">
        <v>17541.64</v>
      </c>
      <c r="F35" s="10">
        <v>17490.810000000001</v>
      </c>
      <c r="G35" s="10">
        <v>17631.71</v>
      </c>
      <c r="H35" s="10">
        <v>17678.810000000001</v>
      </c>
    </row>
    <row r="36" spans="2:8" x14ac:dyDescent="0.2">
      <c r="B36" s="9">
        <v>41152</v>
      </c>
      <c r="C36" s="10">
        <v>17380.75</v>
      </c>
      <c r="D36" s="10">
        <v>17541.64</v>
      </c>
      <c r="E36" s="10">
        <v>17490.810000000001</v>
      </c>
      <c r="F36" s="10">
        <v>17631.71</v>
      </c>
      <c r="G36" s="10">
        <v>17678.810000000001</v>
      </c>
      <c r="H36" s="10">
        <v>17783.21</v>
      </c>
    </row>
    <row r="37" spans="2:8" x14ac:dyDescent="0.2">
      <c r="B37" s="9">
        <v>41151</v>
      </c>
      <c r="C37" s="10">
        <v>17541.64</v>
      </c>
      <c r="D37" s="10">
        <v>17490.810000000001</v>
      </c>
      <c r="E37" s="10">
        <v>17631.71</v>
      </c>
      <c r="F37" s="10">
        <v>17678.810000000001</v>
      </c>
      <c r="G37" s="10">
        <v>17783.21</v>
      </c>
      <c r="H37" s="10">
        <v>17850.22</v>
      </c>
    </row>
    <row r="38" spans="2:8" x14ac:dyDescent="0.2">
      <c r="B38" s="9">
        <v>41150</v>
      </c>
      <c r="C38" s="10">
        <v>17490.810000000001</v>
      </c>
      <c r="D38" s="10">
        <v>17631.71</v>
      </c>
      <c r="E38" s="10">
        <v>17678.810000000001</v>
      </c>
      <c r="F38" s="10">
        <v>17783.21</v>
      </c>
      <c r="G38" s="10">
        <v>17850.22</v>
      </c>
      <c r="H38" s="10">
        <v>17846.86</v>
      </c>
    </row>
    <row r="39" spans="2:8" x14ac:dyDescent="0.2">
      <c r="B39" s="9">
        <v>41149</v>
      </c>
      <c r="C39" s="10">
        <v>17631.71</v>
      </c>
      <c r="D39" s="10">
        <v>17678.810000000001</v>
      </c>
      <c r="E39" s="10">
        <v>17783.21</v>
      </c>
      <c r="F39" s="10">
        <v>17850.22</v>
      </c>
      <c r="G39" s="10">
        <v>17846.86</v>
      </c>
      <c r="H39" s="10">
        <v>17885.259999999998</v>
      </c>
    </row>
    <row r="40" spans="2:8" x14ac:dyDescent="0.2">
      <c r="B40" s="9">
        <v>41148</v>
      </c>
      <c r="C40" s="10">
        <v>17678.810000000001</v>
      </c>
      <c r="D40" s="10">
        <v>17783.21</v>
      </c>
      <c r="E40" s="10">
        <v>17850.22</v>
      </c>
      <c r="F40" s="10">
        <v>17846.86</v>
      </c>
      <c r="G40" s="10">
        <v>17885.259999999998</v>
      </c>
      <c r="H40" s="10">
        <v>17691.080000000002</v>
      </c>
    </row>
    <row r="41" spans="2:8" x14ac:dyDescent="0.2">
      <c r="B41" s="9">
        <v>41145</v>
      </c>
      <c r="C41" s="10">
        <v>17783.21</v>
      </c>
      <c r="D41" s="10">
        <v>17850.22</v>
      </c>
      <c r="E41" s="10">
        <v>17846.86</v>
      </c>
      <c r="F41" s="10">
        <v>17885.259999999998</v>
      </c>
      <c r="G41" s="10">
        <v>17691.080000000002</v>
      </c>
      <c r="H41" s="10">
        <v>17657.21</v>
      </c>
    </row>
    <row r="42" spans="2:8" x14ac:dyDescent="0.2">
      <c r="B42" s="9">
        <v>41144</v>
      </c>
      <c r="C42" s="10">
        <v>17850.22</v>
      </c>
      <c r="D42" s="10">
        <v>17846.86</v>
      </c>
      <c r="E42" s="10">
        <v>17885.259999999998</v>
      </c>
      <c r="F42" s="10">
        <v>17691.080000000002</v>
      </c>
      <c r="G42" s="10">
        <v>17657.21</v>
      </c>
      <c r="H42" s="10">
        <v>17728.2</v>
      </c>
    </row>
    <row r="43" spans="2:8" x14ac:dyDescent="0.2">
      <c r="B43" s="9">
        <v>41143</v>
      </c>
      <c r="C43" s="10">
        <v>17846.86</v>
      </c>
      <c r="D43" s="10">
        <v>17885.259999999998</v>
      </c>
      <c r="E43" s="10">
        <v>17691.080000000002</v>
      </c>
      <c r="F43" s="10">
        <v>17657.21</v>
      </c>
      <c r="G43" s="10">
        <v>17728.2</v>
      </c>
      <c r="H43" s="10">
        <v>17633.45</v>
      </c>
    </row>
    <row r="44" spans="2:8" x14ac:dyDescent="0.2">
      <c r="B44" s="9">
        <v>41142</v>
      </c>
      <c r="C44" s="10">
        <v>17885.259999999998</v>
      </c>
      <c r="D44" s="10">
        <v>17691.080000000002</v>
      </c>
      <c r="E44" s="10">
        <v>17657.21</v>
      </c>
      <c r="F44" s="10">
        <v>17728.2</v>
      </c>
      <c r="G44" s="10">
        <v>17633.45</v>
      </c>
      <c r="H44" s="10">
        <v>17557.740000000002</v>
      </c>
    </row>
    <row r="45" spans="2:8" x14ac:dyDescent="0.2">
      <c r="B45" s="9">
        <v>41138</v>
      </c>
      <c r="C45" s="10">
        <v>17691.080000000002</v>
      </c>
      <c r="D45" s="10">
        <v>17657.21</v>
      </c>
      <c r="E45" s="10">
        <v>17728.2</v>
      </c>
      <c r="F45" s="10">
        <v>17633.45</v>
      </c>
      <c r="G45" s="10">
        <v>17557.740000000002</v>
      </c>
      <c r="H45" s="10">
        <v>17560.87</v>
      </c>
    </row>
    <row r="46" spans="2:8" x14ac:dyDescent="0.2">
      <c r="B46" s="9">
        <v>41137</v>
      </c>
      <c r="C46" s="10">
        <v>17657.21</v>
      </c>
      <c r="D46" s="10">
        <v>17728.2</v>
      </c>
      <c r="E46" s="10">
        <v>17633.45</v>
      </c>
      <c r="F46" s="10">
        <v>17557.740000000002</v>
      </c>
      <c r="G46" s="10">
        <v>17560.87</v>
      </c>
      <c r="H46" s="10">
        <v>17600.560000000001</v>
      </c>
    </row>
    <row r="47" spans="2:8" x14ac:dyDescent="0.2">
      <c r="B47" s="9">
        <v>41135</v>
      </c>
      <c r="C47" s="10">
        <v>17728.2</v>
      </c>
      <c r="D47" s="10">
        <v>17633.45</v>
      </c>
      <c r="E47" s="10">
        <v>17557.740000000002</v>
      </c>
      <c r="F47" s="10">
        <v>17560.87</v>
      </c>
      <c r="G47" s="10">
        <v>17600.560000000001</v>
      </c>
      <c r="H47" s="10">
        <v>17601.78</v>
      </c>
    </row>
    <row r="48" spans="2:8" x14ac:dyDescent="0.2">
      <c r="B48" s="9">
        <v>41134</v>
      </c>
      <c r="C48" s="10">
        <v>17633.45</v>
      </c>
      <c r="D48" s="10">
        <v>17557.740000000002</v>
      </c>
      <c r="E48" s="10">
        <v>17560.87</v>
      </c>
      <c r="F48" s="10">
        <v>17600.560000000001</v>
      </c>
      <c r="G48" s="10">
        <v>17601.78</v>
      </c>
      <c r="H48" s="10">
        <v>17412.96</v>
      </c>
    </row>
    <row r="49" spans="2:8" x14ac:dyDescent="0.2">
      <c r="B49" s="9">
        <v>41131</v>
      </c>
      <c r="C49" s="10">
        <v>17557.740000000002</v>
      </c>
      <c r="D49" s="10">
        <v>17560.87</v>
      </c>
      <c r="E49" s="10">
        <v>17600.560000000001</v>
      </c>
      <c r="F49" s="10">
        <v>17601.78</v>
      </c>
      <c r="G49" s="10">
        <v>17412.96</v>
      </c>
      <c r="H49" s="10">
        <v>17197.93</v>
      </c>
    </row>
    <row r="50" spans="2:8" x14ac:dyDescent="0.2">
      <c r="B50" s="9">
        <v>41130</v>
      </c>
      <c r="C50" s="10">
        <v>17560.87</v>
      </c>
      <c r="D50" s="10">
        <v>17600.560000000001</v>
      </c>
      <c r="E50" s="10">
        <v>17601.78</v>
      </c>
      <c r="F50" s="10">
        <v>17412.96</v>
      </c>
      <c r="G50" s="10">
        <v>17197.93</v>
      </c>
      <c r="H50" s="10">
        <v>17224.36</v>
      </c>
    </row>
    <row r="51" spans="2:8" x14ac:dyDescent="0.2">
      <c r="B51" s="9">
        <v>41129</v>
      </c>
      <c r="C51" s="10">
        <v>17600.560000000001</v>
      </c>
      <c r="D51" s="10">
        <v>17601.78</v>
      </c>
      <c r="E51" s="10">
        <v>17412.96</v>
      </c>
      <c r="F51" s="10">
        <v>17197.93</v>
      </c>
      <c r="G51" s="10">
        <v>17224.36</v>
      </c>
      <c r="H51" s="10">
        <v>17257.38</v>
      </c>
    </row>
    <row r="52" spans="2:8" x14ac:dyDescent="0.2">
      <c r="B52" s="9">
        <v>41128</v>
      </c>
      <c r="C52" s="10">
        <v>17601.78</v>
      </c>
      <c r="D52" s="10">
        <v>17412.96</v>
      </c>
      <c r="E52" s="10">
        <v>17197.93</v>
      </c>
      <c r="F52" s="10">
        <v>17224.36</v>
      </c>
      <c r="G52" s="10">
        <v>17257.38</v>
      </c>
      <c r="H52" s="10">
        <v>17236.18</v>
      </c>
    </row>
    <row r="53" spans="2:8" x14ac:dyDescent="0.2">
      <c r="B53" s="9">
        <v>41127</v>
      </c>
      <c r="C53" s="10">
        <v>17412.96</v>
      </c>
      <c r="D53" s="10">
        <v>17197.93</v>
      </c>
      <c r="E53" s="10">
        <v>17224.36</v>
      </c>
      <c r="F53" s="10">
        <v>17257.38</v>
      </c>
      <c r="G53" s="10">
        <v>17236.18</v>
      </c>
      <c r="H53" s="10">
        <v>17143.68</v>
      </c>
    </row>
    <row r="54" spans="2:8" x14ac:dyDescent="0.2">
      <c r="B54" s="9">
        <v>41124</v>
      </c>
      <c r="C54" s="10">
        <v>17197.93</v>
      </c>
      <c r="D54" s="10">
        <v>17224.36</v>
      </c>
      <c r="E54" s="10">
        <v>17257.38</v>
      </c>
      <c r="F54" s="10">
        <v>17236.18</v>
      </c>
      <c r="G54" s="10">
        <v>17143.68</v>
      </c>
      <c r="H54" s="10">
        <v>16839.189999999999</v>
      </c>
    </row>
    <row r="55" spans="2:8" x14ac:dyDescent="0.2">
      <c r="B55" s="9">
        <v>41123</v>
      </c>
      <c r="C55" s="10">
        <v>17224.36</v>
      </c>
      <c r="D55" s="10">
        <v>17257.38</v>
      </c>
      <c r="E55" s="10">
        <v>17236.18</v>
      </c>
      <c r="F55" s="10">
        <v>17143.68</v>
      </c>
      <c r="G55" s="10">
        <v>16839.189999999999</v>
      </c>
      <c r="H55" s="10">
        <v>16639.82</v>
      </c>
    </row>
    <row r="56" spans="2:8" x14ac:dyDescent="0.2">
      <c r="B56" s="9">
        <v>41122</v>
      </c>
      <c r="C56" s="10">
        <v>17257.38</v>
      </c>
      <c r="D56" s="10">
        <v>17236.18</v>
      </c>
      <c r="E56" s="10">
        <v>17143.68</v>
      </c>
      <c r="F56" s="10">
        <v>16839.189999999999</v>
      </c>
      <c r="G56" s="10">
        <v>16639.82</v>
      </c>
      <c r="H56" s="10">
        <v>16846.05</v>
      </c>
    </row>
    <row r="57" spans="2:8" x14ac:dyDescent="0.2">
      <c r="B57" s="9">
        <v>41121</v>
      </c>
      <c r="C57" s="10">
        <v>17236.18</v>
      </c>
      <c r="D57" s="10">
        <v>17143.68</v>
      </c>
      <c r="E57" s="10">
        <v>16839.189999999999</v>
      </c>
      <c r="F57" s="10">
        <v>16639.82</v>
      </c>
      <c r="G57" s="10">
        <v>16846.05</v>
      </c>
      <c r="H57" s="10">
        <v>16918.080000000002</v>
      </c>
    </row>
    <row r="58" spans="2:8" x14ac:dyDescent="0.2">
      <c r="B58" s="9">
        <v>41120</v>
      </c>
      <c r="C58" s="10">
        <v>17143.68</v>
      </c>
      <c r="D58" s="10">
        <v>16839.189999999999</v>
      </c>
      <c r="E58" s="10">
        <v>16639.82</v>
      </c>
      <c r="F58" s="10">
        <v>16846.05</v>
      </c>
      <c r="G58" s="10">
        <v>16918.080000000002</v>
      </c>
      <c r="H58" s="10">
        <v>16877.349999999999</v>
      </c>
    </row>
    <row r="59" spans="2:8" x14ac:dyDescent="0.2">
      <c r="B59" s="9">
        <v>41117</v>
      </c>
      <c r="C59" s="10">
        <v>16839.189999999999</v>
      </c>
      <c r="D59" s="10">
        <v>16639.82</v>
      </c>
      <c r="E59" s="10">
        <v>16846.05</v>
      </c>
      <c r="F59" s="10">
        <v>16918.080000000002</v>
      </c>
      <c r="G59" s="10">
        <v>16877.349999999999</v>
      </c>
      <c r="H59" s="10">
        <v>17158.439999999999</v>
      </c>
    </row>
    <row r="60" spans="2:8" x14ac:dyDescent="0.2">
      <c r="B60" s="9">
        <v>41116</v>
      </c>
      <c r="C60" s="10">
        <v>16639.82</v>
      </c>
      <c r="D60" s="10">
        <v>16846.05</v>
      </c>
      <c r="E60" s="10">
        <v>16918.080000000002</v>
      </c>
      <c r="F60" s="10">
        <v>16877.349999999999</v>
      </c>
      <c r="G60" s="10">
        <v>17158.439999999999</v>
      </c>
      <c r="H60" s="10">
        <v>17278.849999999999</v>
      </c>
    </row>
    <row r="61" spans="2:8" x14ac:dyDescent="0.2">
      <c r="B61" s="9">
        <v>41115</v>
      </c>
      <c r="C61" s="10">
        <v>16846.05</v>
      </c>
      <c r="D61" s="10">
        <v>16918.080000000002</v>
      </c>
      <c r="E61" s="10">
        <v>16877.349999999999</v>
      </c>
      <c r="F61" s="10">
        <v>17158.439999999999</v>
      </c>
      <c r="G61" s="10">
        <v>17278.849999999999</v>
      </c>
      <c r="H61" s="10">
        <v>17185.009999999998</v>
      </c>
    </row>
    <row r="62" spans="2:8" x14ac:dyDescent="0.2">
      <c r="B62" s="9">
        <v>41114</v>
      </c>
      <c r="C62" s="10">
        <v>16918.080000000002</v>
      </c>
      <c r="D62" s="10">
        <v>16877.349999999999</v>
      </c>
      <c r="E62" s="10">
        <v>17158.439999999999</v>
      </c>
      <c r="F62" s="10">
        <v>17278.849999999999</v>
      </c>
      <c r="G62" s="10">
        <v>17185.009999999998</v>
      </c>
      <c r="H62" s="10">
        <v>17105.3</v>
      </c>
    </row>
    <row r="63" spans="2:8" x14ac:dyDescent="0.2">
      <c r="B63" s="9">
        <v>41113</v>
      </c>
      <c r="C63" s="10">
        <v>16877.349999999999</v>
      </c>
      <c r="D63" s="10">
        <v>17158.439999999999</v>
      </c>
      <c r="E63" s="10">
        <v>17278.849999999999</v>
      </c>
      <c r="F63" s="10">
        <v>17185.009999999998</v>
      </c>
      <c r="G63" s="10">
        <v>17105.3</v>
      </c>
      <c r="H63" s="10">
        <v>17103.310000000001</v>
      </c>
    </row>
    <row r="64" spans="2:8" x14ac:dyDescent="0.2">
      <c r="B64" s="9">
        <v>41110</v>
      </c>
      <c r="C64" s="10">
        <v>17158.439999999999</v>
      </c>
      <c r="D64" s="10">
        <v>17278.849999999999</v>
      </c>
      <c r="E64" s="10">
        <v>17185.009999999998</v>
      </c>
      <c r="F64" s="10">
        <v>17105.3</v>
      </c>
      <c r="G64" s="10">
        <v>17103.310000000001</v>
      </c>
      <c r="H64" s="10">
        <v>17213.7</v>
      </c>
    </row>
    <row r="65" spans="2:8" x14ac:dyDescent="0.2">
      <c r="B65" s="9">
        <v>41109</v>
      </c>
      <c r="C65" s="10">
        <v>17278.849999999999</v>
      </c>
      <c r="D65" s="10">
        <v>17185.009999999998</v>
      </c>
      <c r="E65" s="10">
        <v>17105.3</v>
      </c>
      <c r="F65" s="10">
        <v>17103.310000000001</v>
      </c>
      <c r="G65" s="10">
        <v>17213.7</v>
      </c>
      <c r="H65" s="10">
        <v>17232.55</v>
      </c>
    </row>
    <row r="66" spans="2:8" x14ac:dyDescent="0.2">
      <c r="B66" s="9">
        <v>41108</v>
      </c>
      <c r="C66" s="10">
        <v>17185.009999999998</v>
      </c>
      <c r="D66" s="10">
        <v>17105.3</v>
      </c>
      <c r="E66" s="10">
        <v>17103.310000000001</v>
      </c>
      <c r="F66" s="10">
        <v>17213.7</v>
      </c>
      <c r="G66" s="10">
        <v>17232.55</v>
      </c>
      <c r="H66" s="10">
        <v>17489.14</v>
      </c>
    </row>
    <row r="67" spans="2:8" x14ac:dyDescent="0.2">
      <c r="B67" s="9">
        <v>41107</v>
      </c>
      <c r="C67" s="10">
        <v>17105.3</v>
      </c>
      <c r="D67" s="10">
        <v>17103.310000000001</v>
      </c>
      <c r="E67" s="10">
        <v>17213.7</v>
      </c>
      <c r="F67" s="10">
        <v>17232.55</v>
      </c>
      <c r="G67" s="10">
        <v>17489.14</v>
      </c>
      <c r="H67" s="10">
        <v>17618.349999999999</v>
      </c>
    </row>
    <row r="68" spans="2:8" x14ac:dyDescent="0.2">
      <c r="B68" s="9">
        <v>41106</v>
      </c>
      <c r="C68" s="10">
        <v>17103.310000000001</v>
      </c>
      <c r="D68" s="10">
        <v>17213.7</v>
      </c>
      <c r="E68" s="10">
        <v>17232.55</v>
      </c>
      <c r="F68" s="10">
        <v>17489.14</v>
      </c>
      <c r="G68" s="10">
        <v>17618.349999999999</v>
      </c>
      <c r="H68" s="10">
        <v>17391.98</v>
      </c>
    </row>
    <row r="69" spans="2:8" x14ac:dyDescent="0.2">
      <c r="B69" s="9">
        <v>41103</v>
      </c>
      <c r="C69" s="10">
        <v>17213.7</v>
      </c>
      <c r="D69" s="10">
        <v>17232.55</v>
      </c>
      <c r="E69" s="10">
        <v>17489.14</v>
      </c>
      <c r="F69" s="10">
        <v>17618.349999999999</v>
      </c>
      <c r="G69" s="10">
        <v>17391.98</v>
      </c>
      <c r="H69" s="10">
        <v>17521.12</v>
      </c>
    </row>
    <row r="70" spans="2:8" x14ac:dyDescent="0.2">
      <c r="B70" s="9">
        <v>41102</v>
      </c>
      <c r="C70" s="10">
        <v>17232.55</v>
      </c>
      <c r="D70" s="10">
        <v>17489.14</v>
      </c>
      <c r="E70" s="10">
        <v>17618.349999999999</v>
      </c>
      <c r="F70" s="10">
        <v>17391.98</v>
      </c>
      <c r="G70" s="10">
        <v>17521.12</v>
      </c>
      <c r="H70" s="10">
        <v>17538.669999999998</v>
      </c>
    </row>
    <row r="71" spans="2:8" x14ac:dyDescent="0.2">
      <c r="B71" s="9">
        <v>41101</v>
      </c>
      <c r="C71" s="10">
        <v>17489.14</v>
      </c>
      <c r="D71" s="10">
        <v>17618.349999999999</v>
      </c>
      <c r="E71" s="10">
        <v>17391.98</v>
      </c>
      <c r="F71" s="10">
        <v>17521.12</v>
      </c>
      <c r="G71" s="10">
        <v>17538.669999999998</v>
      </c>
      <c r="H71" s="10">
        <v>17462.810000000001</v>
      </c>
    </row>
    <row r="72" spans="2:8" x14ac:dyDescent="0.2">
      <c r="B72" s="9">
        <v>41100</v>
      </c>
      <c r="C72" s="10">
        <v>17618.349999999999</v>
      </c>
      <c r="D72" s="10">
        <v>17391.98</v>
      </c>
      <c r="E72" s="10">
        <v>17521.12</v>
      </c>
      <c r="F72" s="10">
        <v>17538.669999999998</v>
      </c>
      <c r="G72" s="10">
        <v>17462.810000000001</v>
      </c>
      <c r="H72" s="10">
        <v>17425.71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Test</vt:lpstr>
      <vt:lpstr>Serial Correlation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Shrivastava</cp:lastModifiedBy>
  <dcterms:created xsi:type="dcterms:W3CDTF">2012-10-22T15:08:35Z</dcterms:created>
  <dcterms:modified xsi:type="dcterms:W3CDTF">2026-07-03T06:17:01Z</dcterms:modified>
</cp:coreProperties>
</file>